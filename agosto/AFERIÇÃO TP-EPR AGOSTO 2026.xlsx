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seias.melo\Desktop\MICHEL AGOSTO\"/>
    </mc:Choice>
  </mc:AlternateContent>
  <bookViews>
    <workbookView xWindow="0" yWindow="0" windowWidth="20490" windowHeight="7635"/>
  </bookViews>
  <sheets>
    <sheet name="JULHO" sheetId="3" r:id="rId1"/>
    <sheet name="Gráfico" sheetId="4" r:id="rId2"/>
  </sheets>
  <definedNames>
    <definedName name="_xlnm._FilterDatabase" localSheetId="0" hidden="1">JULHO!$B$5:$F$84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5" i="3" l="1"/>
  <c r="F67" i="3"/>
  <c r="F66" i="3"/>
  <c r="F65" i="3"/>
  <c r="F64" i="3"/>
  <c r="F63" i="3"/>
  <c r="F57" i="3"/>
  <c r="F51" i="3"/>
  <c r="F46" i="3"/>
  <c r="F45" i="3"/>
  <c r="F27" i="3"/>
  <c r="F17" i="3"/>
  <c r="F16" i="3"/>
  <c r="F15" i="3"/>
  <c r="F13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4" i="3"/>
  <c r="F72" i="3"/>
  <c r="F70" i="3"/>
  <c r="F69" i="3"/>
  <c r="F68" i="3"/>
  <c r="F62" i="3"/>
  <c r="F61" i="3"/>
  <c r="F60" i="3"/>
  <c r="F59" i="3"/>
  <c r="F56" i="3"/>
  <c r="F55" i="3"/>
  <c r="F54" i="3"/>
  <c r="F53" i="3"/>
  <c r="F52" i="3"/>
  <c r="F50" i="3"/>
  <c r="F49" i="3"/>
  <c r="F48" i="3"/>
  <c r="F47" i="3"/>
  <c r="F44" i="3"/>
  <c r="F43" i="3"/>
  <c r="F42" i="3"/>
  <c r="F41" i="3"/>
  <c r="F40" i="3"/>
  <c r="F39" i="3"/>
  <c r="F38" i="3"/>
  <c r="F37" i="3"/>
  <c r="F36" i="3"/>
  <c r="F34" i="3"/>
  <c r="F33" i="3"/>
  <c r="F32" i="3"/>
  <c r="F31" i="3"/>
  <c r="F30" i="3"/>
  <c r="F29" i="3"/>
  <c r="F28" i="3"/>
  <c r="F26" i="3"/>
  <c r="F25" i="3"/>
  <c r="F22" i="3"/>
  <c r="F21" i="3"/>
  <c r="F20" i="3"/>
  <c r="F19" i="3"/>
  <c r="F18" i="3"/>
  <c r="F12" i="3"/>
  <c r="F11" i="3"/>
  <c r="F10" i="3"/>
  <c r="F9" i="3"/>
  <c r="F14" i="3"/>
  <c r="F6" i="3"/>
  <c r="C97" i="3" l="1"/>
  <c r="C3" i="4" s="1"/>
  <c r="D97" i="3"/>
  <c r="C4" i="4" s="1"/>
  <c r="C2" i="4" l="1"/>
  <c r="D4" i="4" s="1"/>
  <c r="D3" i="4" l="1"/>
</calcChain>
</file>

<file path=xl/sharedStrings.xml><?xml version="1.0" encoding="utf-8"?>
<sst xmlns="http://schemas.openxmlformats.org/spreadsheetml/2006/main" count="298" uniqueCount="120">
  <si>
    <t>AFERIÇÃO DE TEMPO RESPOSTA TP/EPR AGOSTO DE 2026</t>
  </si>
  <si>
    <t>NOME</t>
  </si>
  <si>
    <t>EQUIPE</t>
  </si>
  <si>
    <t>Função</t>
  </si>
  <si>
    <t>AGOSTO</t>
  </si>
  <si>
    <t>RESULTADO</t>
  </si>
  <si>
    <t>BRUNO DOS SANTOS LEAL BLAS</t>
  </si>
  <si>
    <t>ALFA</t>
  </si>
  <si>
    <t>BA-LR</t>
  </si>
  <si>
    <t>RAFAEL RIBEIRO DE SIQUEIRA</t>
  </si>
  <si>
    <t>BA-MC</t>
  </si>
  <si>
    <t>CARLOS ALBERTO BARBOSA DA SILVA</t>
  </si>
  <si>
    <t>FÉRIAS</t>
  </si>
  <si>
    <t>ALESSANDRO CARDOSO DE OLIVEIRA</t>
  </si>
  <si>
    <t>BA2</t>
  </si>
  <si>
    <t>JAMERSON UBIRACY DE ARAÚJO</t>
  </si>
  <si>
    <t>ALESSANDRO DA SILVA TEIXEIRA</t>
  </si>
  <si>
    <t>LUAN ALVES DOS SANTOS</t>
  </si>
  <si>
    <t>RODRIGO FERNANDES JUCÁ E SILVA</t>
  </si>
  <si>
    <t>MICHELL SOARES DA CONCEIÇÃO</t>
  </si>
  <si>
    <t>YURE MALLET FONSECA</t>
  </si>
  <si>
    <t>DOUGLAS TEIXEIRA ALVES</t>
  </si>
  <si>
    <t>HENRIQUE DE PINNA GOMES BRITTO</t>
  </si>
  <si>
    <t>RENATO CARREIRO MARTINS</t>
  </si>
  <si>
    <t>ALAN RICARDO ALMEIDA SA SEVERO</t>
  </si>
  <si>
    <t>BRAVO</t>
  </si>
  <si>
    <t>PAULO ROBERTO FERNANDES</t>
  </si>
  <si>
    <t>GESSILDO DA SILVA SOARES</t>
  </si>
  <si>
    <t>GERSON DA SILVA FERREIRA</t>
  </si>
  <si>
    <t>MAICON DOUGLAS FELIX ROCHA</t>
  </si>
  <si>
    <t>FOLGA</t>
  </si>
  <si>
    <t>DANIEL OSÓRIO DE LIMA</t>
  </si>
  <si>
    <t>LUCIANO FERREIRA LOPES WANDERLEY</t>
  </si>
  <si>
    <t>THALES DOS SANTOS SILVA</t>
  </si>
  <si>
    <t>BA-CE</t>
  </si>
  <si>
    <t>LUIZ FERNANDO VIEIRA PEREIRA SILVA</t>
  </si>
  <si>
    <t>BA-2</t>
  </si>
  <si>
    <t>MAICON NEI DA SILVA ROCHA</t>
  </si>
  <si>
    <t>ALBERT FERREIRA DA SILVA XARIFA</t>
  </si>
  <si>
    <t>ALEX CORREA SANTANA</t>
  </si>
  <si>
    <t>ELIOMAR AGOSTINHO DA SILVA</t>
  </si>
  <si>
    <t>FABIO JUNIOR SANTOS BARCELLOS</t>
  </si>
  <si>
    <t>FERNANDO BATISTA DO NASCIMENTO</t>
  </si>
  <si>
    <t>BA MC</t>
  </si>
  <si>
    <t xml:space="preserve">KASSIO VIEIRA DE SENNA ALMEIDA </t>
  </si>
  <si>
    <t>LEANDRO MENDES BARBOSA</t>
  </si>
  <si>
    <t>LEANDRO RODRIGUES DA SILVA</t>
  </si>
  <si>
    <t>BA MA</t>
  </si>
  <si>
    <t>MARCELO LEANDRO DE OLIVEIRA COUTINHO</t>
  </si>
  <si>
    <t>MARCOS VINICIUS SANTOS FIDELIS</t>
  </si>
  <si>
    <t xml:space="preserve">MARCUS VINICIUS ANDRADE DE AVILA </t>
  </si>
  <si>
    <t>MAURÍCIO DE SOUZA OLIVEIRA</t>
  </si>
  <si>
    <t>BA RE</t>
  </si>
  <si>
    <t xml:space="preserve">MURILO PEREIRA DE ASSIS </t>
  </si>
  <si>
    <t>PAULO RICARDO RIBEIRO KHATE E BRITO</t>
  </si>
  <si>
    <t>RAFAEL LUIZ DE ALMEIDA SOUZA</t>
  </si>
  <si>
    <t>BA LR</t>
  </si>
  <si>
    <t>RAMON SIEIA MEDEIROS</t>
  </si>
  <si>
    <t>BA CE</t>
  </si>
  <si>
    <t>SANDRO RAMOS PRADO</t>
  </si>
  <si>
    <t xml:space="preserve">TARICK SEIXAS </t>
  </si>
  <si>
    <t>THIAGO DA SILVA SOUZA</t>
  </si>
  <si>
    <t>YAGO ARINO DA ROCHA</t>
  </si>
  <si>
    <t>WENDEL DE OLIVEIRA SOARES</t>
  </si>
  <si>
    <t>CHARLIE</t>
  </si>
  <si>
    <t>MARCELO BARBOSA DE SOUZA</t>
  </si>
  <si>
    <t>LEANDRO DA ROCHA SANT’ANNA</t>
  </si>
  <si>
    <t>FABIO DE SOUZA FONSECA</t>
  </si>
  <si>
    <t>RICARDO GOMES MARINHO</t>
  </si>
  <si>
    <t>RODRIGO ALVES DE SOUZA</t>
  </si>
  <si>
    <t>VAGNER DE OLIVEIRA REZENDE</t>
  </si>
  <si>
    <t>THALES DIEGO SOARES FERREIRA</t>
  </si>
  <si>
    <t>ROGÉRIO CERVO MOTTA</t>
  </si>
  <si>
    <t>NIELSON DE SOUZA OLIVEIRA</t>
  </si>
  <si>
    <t xml:space="preserve">FLÁVIO EMANOEL SANTOS DE OLIVEIRA </t>
  </si>
  <si>
    <t>LUCIANO SIQUEIRA DA SILVA</t>
  </si>
  <si>
    <t>VINÍCIUS DOS SANTOS PIRES</t>
  </si>
  <si>
    <t>DYLAN BAGARELLI LOUREIRO</t>
  </si>
  <si>
    <t>IGOR DA SILVA DO AMARAL</t>
  </si>
  <si>
    <t>SALATIEL DOS SANTOS LUIZ GOULART</t>
  </si>
  <si>
    <t>ÁTILA DE FRETAS NETO</t>
  </si>
  <si>
    <t>MARCELO DOMINGOS CARUNCHO</t>
  </si>
  <si>
    <t>PAULO ROGÉRIO MARQUES MEDEIROS</t>
  </si>
  <si>
    <t>LEANDRO RICARDO LIMA DE OLIVEIRA</t>
  </si>
  <si>
    <t>FRANCISCO SIMÃO DE LIMA NETO SÁ</t>
  </si>
  <si>
    <t>ADRIANO NASSAR VALENÇA</t>
  </si>
  <si>
    <t>DELTA</t>
  </si>
  <si>
    <t>ANDRÉ JORGE DOS SANTOS</t>
  </si>
  <si>
    <t>JOSÉ LUIZ MACHADO PINHEIRO</t>
  </si>
  <si>
    <t>BRUNO DA SILVA SANTOS</t>
  </si>
  <si>
    <t>EDSON COELHO DAVID</t>
  </si>
  <si>
    <t>DEIVID LOPES</t>
  </si>
  <si>
    <t>LEONARDO MONTEIRO DA SILVA</t>
  </si>
  <si>
    <t>LUCAS DIAS DE FARIAS</t>
  </si>
  <si>
    <t>MARCUS PAULO DA LUZ OLIVEIRA DA SILVEIRA</t>
  </si>
  <si>
    <t xml:space="preserve">DOUGLAS ARAÚJO DOS SANTOS </t>
  </si>
  <si>
    <t>RODRIGO OLIVEIRA ALVES</t>
  </si>
  <si>
    <t>ROGER PEREIRA DA SILVA BARBOSA OZÓRIO</t>
  </si>
  <si>
    <t>SERGIO LUIZ DOS SANTOS JUNIOR</t>
  </si>
  <si>
    <t>LEANDRO RODRIGO SILVEIRA ROSA</t>
  </si>
  <si>
    <t>WESLEY DE CARVALHO CORREA</t>
  </si>
  <si>
    <t>ANDRÉ MIGUEL MEIRE</t>
  </si>
  <si>
    <t>ÉDIPO FERNANDES DA SILVA</t>
  </si>
  <si>
    <t>CARLOS ALBERTO DOS S. LESSA JUNIOR</t>
  </si>
  <si>
    <t>THIAGO CRUZ LEITE</t>
  </si>
  <si>
    <t>LUIZ FELIPE SOBRAL DO NASCIMENTO</t>
  </si>
  <si>
    <t>KLEBER SANTOS DE OLIVEIRA</t>
  </si>
  <si>
    <t>Excelente</t>
  </si>
  <si>
    <t>HÉLIO ISMERIM DOS SANTOS</t>
  </si>
  <si>
    <t>FOLGUISTA</t>
  </si>
  <si>
    <t>SAMUEL GALDINO DE BARCELOS</t>
  </si>
  <si>
    <t>JEAN PATRICK NASCIMENTOI LOURENÇO</t>
  </si>
  <si>
    <t>DANIEL NATAN SIEIA ROCHA</t>
  </si>
  <si>
    <t>Contagem</t>
  </si>
  <si>
    <t>Bom</t>
  </si>
  <si>
    <t>TOTAL</t>
  </si>
  <si>
    <t>%</t>
  </si>
  <si>
    <t>OBSERVAÇÃO</t>
  </si>
  <si>
    <t>PERMUTA</t>
  </si>
  <si>
    <t>NÃO REALIZADIO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</si>
</sst>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0"/>
      <color theme="1"/>
      <name val="Calibri"/>
      <family val="2"/>
      <charset val="1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7D7D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rgb="FF00B0F0"/>
      </patternFill>
    </fill>
    <fill>
      <patternFill patternType="solid">
        <fgColor theme="0"/>
        <bgColor rgb="FF00CCFF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6" fillId="0" borderId="0" applyFont="0" applyFill="0" applyBorder="0" applyAlignment="0" applyProtection="0"/>
  </cellStyleXfs>
  <cellXfs count="45">
    <xf numFmtId="0" fontId="0" fillId="0" borderId="0" xfId="0"/>
    <xf numFmtId="0" fontId="4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right" vertical="center"/>
    </xf>
    <xf numFmtId="0" fontId="0" fillId="2" borderId="1" xfId="0" applyFill="1" applyBorder="1" applyAlignment="1">
      <alignment vertical="center"/>
    </xf>
    <xf numFmtId="9" fontId="0" fillId="2" borderId="1" xfId="2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9" fontId="0" fillId="3" borderId="1" xfId="2" applyFont="1" applyFill="1" applyBorder="1" applyAlignment="1">
      <alignment vertical="center"/>
    </xf>
    <xf numFmtId="0" fontId="4" fillId="5" borderId="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top"/>
    </xf>
    <xf numFmtId="0" fontId="4" fillId="2" borderId="6" xfId="1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9" borderId="2" xfId="1" applyFont="1" applyFill="1" applyBorder="1" applyAlignment="1">
      <alignment horizontal="center" vertical="top"/>
    </xf>
    <xf numFmtId="0" fontId="2" fillId="9" borderId="2" xfId="1" applyFont="1" applyFill="1" applyBorder="1" applyAlignment="1">
      <alignment horizontal="left" vertical="top"/>
    </xf>
    <xf numFmtId="0" fontId="2" fillId="9" borderId="1" xfId="1" applyFont="1" applyFill="1" applyBorder="1" applyAlignment="1">
      <alignment horizontal="center" vertical="top"/>
    </xf>
    <xf numFmtId="0" fontId="4" fillId="0" borderId="1" xfId="1" applyFont="1" applyBorder="1" applyAlignment="1">
      <alignment horizontal="left" vertical="center"/>
    </xf>
    <xf numFmtId="0" fontId="4" fillId="10" borderId="1" xfId="1" applyFont="1" applyFill="1" applyBorder="1" applyAlignment="1">
      <alignment horizontal="center" vertical="center"/>
    </xf>
    <xf numFmtId="0" fontId="4" fillId="10" borderId="9" xfId="1" applyFont="1" applyFill="1" applyBorder="1" applyAlignment="1">
      <alignment horizontal="center" vertical="center"/>
    </xf>
    <xf numFmtId="0" fontId="4" fillId="8" borderId="9" xfId="1" applyFont="1" applyFill="1" applyBorder="1" applyAlignment="1">
      <alignment horizontal="center" vertical="center"/>
    </xf>
    <xf numFmtId="0" fontId="4" fillId="8" borderId="11" xfId="1" applyFont="1" applyFill="1" applyBorder="1" applyAlignment="1">
      <alignment horizontal="center" vertical="center"/>
    </xf>
    <xf numFmtId="0" fontId="4" fillId="11" borderId="10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/>
    </xf>
    <xf numFmtId="0" fontId="4" fillId="0" borderId="10" xfId="1" applyFont="1" applyBorder="1" applyAlignment="1">
      <alignment horizontal="left" vertical="center"/>
    </xf>
    <xf numFmtId="0" fontId="4" fillId="0" borderId="10" xfId="1" applyFont="1" applyBorder="1" applyAlignment="1">
      <alignment horizontal="center" vertical="center"/>
    </xf>
    <xf numFmtId="0" fontId="4" fillId="0" borderId="2" xfId="1" applyFont="1" applyBorder="1" applyAlignment="1">
      <alignment horizontal="left" vertical="center"/>
    </xf>
    <xf numFmtId="0" fontId="4" fillId="0" borderId="2" xfId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4" fillId="12" borderId="9" xfId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64" fontId="5" fillId="0" borderId="12" xfId="0" applyNumberFormat="1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 vertical="center"/>
    </xf>
    <xf numFmtId="0" fontId="2" fillId="9" borderId="1" xfId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5" fillId="13" borderId="1" xfId="0" applyNumberFormat="1" applyFont="1" applyFill="1" applyBorder="1" applyAlignment="1">
      <alignment horizontal="center" vertical="center"/>
    </xf>
    <xf numFmtId="164" fontId="5" fillId="13" borderId="13" xfId="0" applyNumberFormat="1" applyFont="1" applyFill="1" applyBorder="1" applyAlignment="1">
      <alignment vertical="center"/>
    </xf>
  </cellXfs>
  <cellStyles count="3">
    <cellStyle name="Normal" xfId="0" builtinId="0"/>
    <cellStyle name="Normal 2" xfId="1"/>
    <cellStyle name="Porcentagem" xfId="2" builtinId="5"/>
  </cellStyles>
  <dxfs count="44"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FF66"/>
      <color rgb="FFFFFF99"/>
      <color rgb="FF3333FF"/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Resultado - aferição de tempo TP-EPR JUNHO</a:t>
            </a:r>
          </a:p>
        </c:rich>
      </c:tx>
      <c:layout>
        <c:manualLayout>
          <c:xMode val="edge"/>
          <c:yMode val="edge"/>
          <c:x val="0.12090012185976753"/>
          <c:y val="2.87769675496261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52A-4FAE-8057-A481310AE6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252A-4FAE-8057-A481310AE6B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Gráfico!$B$3:$B$4</c:f>
              <c:strCache>
                <c:ptCount val="2"/>
                <c:pt idx="0">
                  <c:v>Excelente</c:v>
                </c:pt>
                <c:pt idx="1">
                  <c:v>Bom</c:v>
                </c:pt>
              </c:strCache>
            </c:strRef>
          </c:cat>
          <c:val>
            <c:numRef>
              <c:f>Gráfico!$D$3:$D$4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EC-454F-B2B2-B3155BFC467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1</xdr:row>
      <xdr:rowOff>9525</xdr:rowOff>
    </xdr:from>
    <xdr:to>
      <xdr:col>1</xdr:col>
      <xdr:colOff>1682115</xdr:colOff>
      <xdr:row>2</xdr:row>
      <xdr:rowOff>171450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C231CAA4-D7DF-C33B-A4BF-308B0F45A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200025"/>
          <a:ext cx="1501140" cy="352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12</xdr:col>
      <xdr:colOff>0</xdr:colOff>
      <xdr:row>14</xdr:row>
      <xdr:rowOff>180976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xmlns="" id="{738D77FC-D530-9F29-05B1-2F27DF0BC1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Personalizada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A8D08D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97"/>
  <sheetViews>
    <sheetView tabSelected="1" zoomScale="70" zoomScaleNormal="70" workbookViewId="0">
      <selection activeCell="K93" sqref="K93"/>
    </sheetView>
  </sheetViews>
  <sheetFormatPr defaultRowHeight="15" x14ac:dyDescent="0.25"/>
  <cols>
    <col min="2" max="2" width="39" customWidth="1"/>
    <col min="3" max="3" width="14" bestFit="1" customWidth="1"/>
    <col min="4" max="4" width="12" customWidth="1"/>
    <col min="5" max="5" width="21.5703125" customWidth="1"/>
    <col min="6" max="6" width="18" customWidth="1"/>
    <col min="7" max="7" width="16.28515625" customWidth="1"/>
    <col min="8" max="8" width="15.42578125" customWidth="1"/>
  </cols>
  <sheetData>
    <row r="1" spans="2:7" ht="15" customHeight="1" x14ac:dyDescent="0.25">
      <c r="B1" s="36" t="s">
        <v>0</v>
      </c>
      <c r="C1" s="36"/>
      <c r="D1" s="36"/>
      <c r="E1" s="36"/>
      <c r="F1" s="36"/>
    </row>
    <row r="2" spans="2:7" ht="15" customHeight="1" x14ac:dyDescent="0.25">
      <c r="B2" s="36"/>
      <c r="C2" s="36"/>
      <c r="D2" s="36"/>
      <c r="E2" s="36"/>
      <c r="F2" s="36"/>
    </row>
    <row r="3" spans="2:7" ht="15" customHeight="1" x14ac:dyDescent="0.25">
      <c r="B3" s="36"/>
      <c r="C3" s="36"/>
      <c r="D3" s="36"/>
      <c r="E3" s="36"/>
      <c r="F3" s="36"/>
    </row>
    <row r="4" spans="2:7" ht="15" customHeight="1" x14ac:dyDescent="0.25">
      <c r="B4" s="36"/>
      <c r="C4" s="36"/>
      <c r="D4" s="36"/>
      <c r="E4" s="36"/>
      <c r="F4" s="36"/>
    </row>
    <row r="5" spans="2:7" x14ac:dyDescent="0.25">
      <c r="B5" s="18" t="s">
        <v>1</v>
      </c>
      <c r="C5" s="19" t="s">
        <v>2</v>
      </c>
      <c r="D5" s="18" t="s">
        <v>3</v>
      </c>
      <c r="E5" s="18" t="s">
        <v>4</v>
      </c>
      <c r="F5" s="20" t="s">
        <v>5</v>
      </c>
      <c r="G5" s="41" t="s">
        <v>117</v>
      </c>
    </row>
    <row r="6" spans="2:7" x14ac:dyDescent="0.25">
      <c r="B6" s="34" t="s">
        <v>6</v>
      </c>
      <c r="C6" s="12" t="s">
        <v>7</v>
      </c>
      <c r="D6" s="22" t="s">
        <v>8</v>
      </c>
      <c r="E6" s="3">
        <v>4.5138888888888887E-4</v>
      </c>
      <c r="F6" s="4" t="str">
        <f>IF(E6&lt;=TIME(0,1,0),"ACOP A",IF(E6&lt;=TIME(0,1,30),"Bom","Ruim"))</f>
        <v>ACOP A</v>
      </c>
      <c r="G6" s="42"/>
    </row>
    <row r="7" spans="2:7" x14ac:dyDescent="0.25">
      <c r="B7" s="34" t="s">
        <v>9</v>
      </c>
      <c r="C7" s="12" t="s">
        <v>7</v>
      </c>
      <c r="D7" s="22" t="s">
        <v>10</v>
      </c>
      <c r="E7" s="43">
        <v>0</v>
      </c>
      <c r="F7" s="44" t="s">
        <v>119</v>
      </c>
      <c r="G7" s="4" t="s">
        <v>118</v>
      </c>
    </row>
    <row r="8" spans="2:7" x14ac:dyDescent="0.25">
      <c r="B8" s="34" t="s">
        <v>11</v>
      </c>
      <c r="C8" s="12" t="s">
        <v>7</v>
      </c>
      <c r="D8" s="22" t="s">
        <v>10</v>
      </c>
      <c r="E8" s="43">
        <v>0</v>
      </c>
      <c r="F8" s="44" t="s">
        <v>119</v>
      </c>
      <c r="G8" s="4" t="s">
        <v>12</v>
      </c>
    </row>
    <row r="9" spans="2:7" x14ac:dyDescent="0.25">
      <c r="B9" s="34" t="s">
        <v>13</v>
      </c>
      <c r="C9" s="12" t="s">
        <v>7</v>
      </c>
      <c r="D9" s="22" t="s">
        <v>14</v>
      </c>
      <c r="E9" s="3">
        <v>5.0925925925925921E-4</v>
      </c>
      <c r="F9" s="4" t="str">
        <f t="shared" ref="F9:F12" si="0">IF(E9&lt;=TIME(0,1,0),"ACOP A",IF(E9&lt;=TIME(0,1,30),"Bom","Ruim"))</f>
        <v>ACOP A</v>
      </c>
      <c r="G9" s="4"/>
    </row>
    <row r="10" spans="2:7" x14ac:dyDescent="0.25">
      <c r="B10" s="34" t="s">
        <v>15</v>
      </c>
      <c r="C10" s="12" t="s">
        <v>7</v>
      </c>
      <c r="D10" s="22" t="s">
        <v>14</v>
      </c>
      <c r="E10" s="3">
        <v>5.5555555555555556E-4</v>
      </c>
      <c r="F10" s="4" t="str">
        <f t="shared" si="0"/>
        <v>ACOP A</v>
      </c>
      <c r="G10" s="4"/>
    </row>
    <row r="11" spans="2:7" x14ac:dyDescent="0.25">
      <c r="B11" s="34" t="s">
        <v>16</v>
      </c>
      <c r="C11" s="12" t="s">
        <v>7</v>
      </c>
      <c r="D11" s="22" t="s">
        <v>14</v>
      </c>
      <c r="E11" s="3">
        <v>5.4398148148148144E-4</v>
      </c>
      <c r="F11" s="4" t="str">
        <f t="shared" si="0"/>
        <v>ACOP A</v>
      </c>
      <c r="G11" s="4"/>
    </row>
    <row r="12" spans="2:7" x14ac:dyDescent="0.25">
      <c r="B12" s="34" t="s">
        <v>17</v>
      </c>
      <c r="C12" s="12" t="s">
        <v>7</v>
      </c>
      <c r="D12" s="22" t="s">
        <v>14</v>
      </c>
      <c r="E12" s="3">
        <v>6.5972222222222224E-4</v>
      </c>
      <c r="F12" s="4" t="str">
        <f t="shared" si="0"/>
        <v>ACOP A</v>
      </c>
      <c r="G12" s="4"/>
    </row>
    <row r="13" spans="2:7" ht="15" customHeight="1" x14ac:dyDescent="0.25">
      <c r="B13" s="34" t="s">
        <v>18</v>
      </c>
      <c r="C13" s="12" t="s">
        <v>7</v>
      </c>
      <c r="D13" s="22" t="s">
        <v>10</v>
      </c>
      <c r="E13" s="3">
        <v>8.2175925925925927E-4</v>
      </c>
      <c r="F13" s="4" t="str">
        <f>IF(E13&lt;=TIME(0,1,0),"Excelente",IF(E13&lt;=TIME(0,1,30),"ACOP B","Ruim"))</f>
        <v>ACOP B</v>
      </c>
      <c r="G13" s="4"/>
    </row>
    <row r="14" spans="2:7" ht="15" customHeight="1" x14ac:dyDescent="0.25">
      <c r="B14" s="34" t="s">
        <v>19</v>
      </c>
      <c r="C14" s="12" t="s">
        <v>7</v>
      </c>
      <c r="D14" s="22" t="s">
        <v>10</v>
      </c>
      <c r="E14" s="3">
        <v>6.2500000000000001E-4</v>
      </c>
      <c r="F14" s="4" t="str">
        <f>IF(E14&lt;=TIME(0,1,0),"ACOP A",IF(E14&lt;=TIME(0,1,30),"Bom","Ruim"))</f>
        <v>ACOP A</v>
      </c>
      <c r="G14" s="4"/>
    </row>
    <row r="15" spans="2:7" ht="15" customHeight="1" x14ac:dyDescent="0.25">
      <c r="B15" s="34" t="s">
        <v>20</v>
      </c>
      <c r="C15" s="12" t="s">
        <v>7</v>
      </c>
      <c r="D15" s="22" t="s">
        <v>14</v>
      </c>
      <c r="E15" s="3">
        <v>7.5231481481481482E-4</v>
      </c>
      <c r="F15" s="4" t="str">
        <f t="shared" ref="F15:F17" si="1">IF(E15&lt;=TIME(0,1,0),"Excelente",IF(E15&lt;=TIME(0,1,30),"ACOP B","Ruim"))</f>
        <v>ACOP B</v>
      </c>
      <c r="G15" s="4"/>
    </row>
    <row r="16" spans="2:7" ht="15" customHeight="1" x14ac:dyDescent="0.25">
      <c r="B16" s="34" t="s">
        <v>21</v>
      </c>
      <c r="C16" s="12" t="s">
        <v>7</v>
      </c>
      <c r="D16" s="22" t="s">
        <v>14</v>
      </c>
      <c r="E16" s="3">
        <v>7.0601851851851847E-4</v>
      </c>
      <c r="F16" s="4" t="str">
        <f t="shared" si="1"/>
        <v>ACOP B</v>
      </c>
      <c r="G16" s="4"/>
    </row>
    <row r="17" spans="2:7" x14ac:dyDescent="0.25">
      <c r="B17" s="34" t="s">
        <v>22</v>
      </c>
      <c r="C17" s="12" t="s">
        <v>7</v>
      </c>
      <c r="D17" s="22" t="s">
        <v>14</v>
      </c>
      <c r="E17" s="3">
        <v>7.291666666666667E-4</v>
      </c>
      <c r="F17" s="4" t="str">
        <f t="shared" si="1"/>
        <v>ACOP B</v>
      </c>
      <c r="G17" s="4"/>
    </row>
    <row r="18" spans="2:7" x14ac:dyDescent="0.25">
      <c r="B18" s="34" t="s">
        <v>23</v>
      </c>
      <c r="C18" s="12" t="s">
        <v>7</v>
      </c>
      <c r="D18" s="22" t="s">
        <v>14</v>
      </c>
      <c r="E18" s="3">
        <v>6.8287037037037036E-4</v>
      </c>
      <c r="F18" s="4" t="str">
        <f t="shared" ref="F18:F22" si="2">IF(E18&lt;=TIME(0,1,0),"ACOP A",IF(E18&lt;=TIME(0,1,30),"Bom","Ruim"))</f>
        <v>ACOP A</v>
      </c>
      <c r="G18" s="4"/>
    </row>
    <row r="19" spans="2:7" x14ac:dyDescent="0.25">
      <c r="B19" s="21" t="s">
        <v>24</v>
      </c>
      <c r="C19" s="13" t="s">
        <v>25</v>
      </c>
      <c r="D19" s="2" t="s">
        <v>14</v>
      </c>
      <c r="E19" s="3">
        <v>6.4814814814814813E-4</v>
      </c>
      <c r="F19" s="4" t="str">
        <f t="shared" si="2"/>
        <v>ACOP A</v>
      </c>
      <c r="G19" s="4"/>
    </row>
    <row r="20" spans="2:7" x14ac:dyDescent="0.25">
      <c r="B20" s="34" t="s">
        <v>26</v>
      </c>
      <c r="C20" s="12" t="s">
        <v>7</v>
      </c>
      <c r="D20" s="22" t="s">
        <v>10</v>
      </c>
      <c r="E20" s="3">
        <v>6.8287037037037036E-4</v>
      </c>
      <c r="F20" s="4" t="str">
        <f t="shared" si="2"/>
        <v>ACOP A</v>
      </c>
      <c r="G20" s="4"/>
    </row>
    <row r="21" spans="2:7" x14ac:dyDescent="0.25">
      <c r="B21" s="34" t="s">
        <v>27</v>
      </c>
      <c r="C21" s="12" t="s">
        <v>7</v>
      </c>
      <c r="D21" s="22" t="s">
        <v>10</v>
      </c>
      <c r="E21" s="3">
        <v>4.9768518518518521E-4</v>
      </c>
      <c r="F21" s="4" t="str">
        <f t="shared" si="2"/>
        <v>ACOP A</v>
      </c>
      <c r="G21" s="4"/>
    </row>
    <row r="22" spans="2:7" x14ac:dyDescent="0.25">
      <c r="B22" s="34" t="s">
        <v>28</v>
      </c>
      <c r="C22" s="12" t="s">
        <v>7</v>
      </c>
      <c r="D22" s="22" t="s">
        <v>14</v>
      </c>
      <c r="E22" s="3">
        <v>5.9027777777777778E-4</v>
      </c>
      <c r="F22" s="4" t="str">
        <f t="shared" si="2"/>
        <v>ACOP A</v>
      </c>
      <c r="G22" s="4"/>
    </row>
    <row r="23" spans="2:7" x14ac:dyDescent="0.25">
      <c r="B23" s="34" t="s">
        <v>29</v>
      </c>
      <c r="C23" s="12" t="s">
        <v>7</v>
      </c>
      <c r="D23" s="22" t="s">
        <v>14</v>
      </c>
      <c r="E23" s="43">
        <v>0</v>
      </c>
      <c r="F23" s="44" t="s">
        <v>119</v>
      </c>
      <c r="G23" s="4" t="s">
        <v>30</v>
      </c>
    </row>
    <row r="24" spans="2:7" x14ac:dyDescent="0.25">
      <c r="B24" s="34" t="s">
        <v>31</v>
      </c>
      <c r="C24" s="12" t="s">
        <v>7</v>
      </c>
      <c r="D24" s="22" t="s">
        <v>14</v>
      </c>
      <c r="E24" s="43">
        <v>0</v>
      </c>
      <c r="F24" s="44" t="s">
        <v>119</v>
      </c>
      <c r="G24" s="4" t="s">
        <v>118</v>
      </c>
    </row>
    <row r="25" spans="2:7" x14ac:dyDescent="0.25">
      <c r="B25" s="34" t="s">
        <v>32</v>
      </c>
      <c r="C25" s="12" t="s">
        <v>7</v>
      </c>
      <c r="D25" s="22" t="s">
        <v>14</v>
      </c>
      <c r="E25" s="3">
        <v>3.3564814814814812E-4</v>
      </c>
      <c r="F25" s="4" t="str">
        <f t="shared" ref="F25:F26" si="3">IF(E25&lt;=TIME(0,1,0),"ACOP A",IF(E25&lt;=TIME(0,1,30),"Bom","Ruim"))</f>
        <v>ACOP A</v>
      </c>
      <c r="G25" s="4"/>
    </row>
    <row r="26" spans="2:7" x14ac:dyDescent="0.25">
      <c r="B26" s="33" t="s">
        <v>33</v>
      </c>
      <c r="C26" s="12" t="s">
        <v>7</v>
      </c>
      <c r="D26" s="22" t="s">
        <v>34</v>
      </c>
      <c r="E26" s="3">
        <v>6.018518518518519E-4</v>
      </c>
      <c r="F26" s="4" t="str">
        <f t="shared" si="3"/>
        <v>ACOP A</v>
      </c>
      <c r="G26" s="4"/>
    </row>
    <row r="27" spans="2:7" x14ac:dyDescent="0.25">
      <c r="B27" s="33" t="s">
        <v>35</v>
      </c>
      <c r="C27" s="12" t="s">
        <v>7</v>
      </c>
      <c r="D27" s="22" t="s">
        <v>36</v>
      </c>
      <c r="E27" s="3">
        <v>7.1759259259259259E-4</v>
      </c>
      <c r="F27" s="4" t="str">
        <f>IF(E27&lt;=TIME(0,1,0),"Excelente",IF(E27&lt;=TIME(0,1,30),"ACOP B","Ruim"))</f>
        <v>ACOP B</v>
      </c>
      <c r="G27" s="4"/>
    </row>
    <row r="28" spans="2:7" x14ac:dyDescent="0.25">
      <c r="B28" s="33" t="s">
        <v>37</v>
      </c>
      <c r="C28" s="12" t="s">
        <v>7</v>
      </c>
      <c r="D28" s="22" t="s">
        <v>14</v>
      </c>
      <c r="E28" s="3">
        <v>6.5972222222222224E-4</v>
      </c>
      <c r="F28" s="4" t="str">
        <f t="shared" ref="F28:F34" si="4">IF(E28&lt;=TIME(0,1,0),"ACOP A",IF(E28&lt;=TIME(0,1,30),"Bom","Ruim"))</f>
        <v>ACOP A</v>
      </c>
      <c r="G28" s="4"/>
    </row>
    <row r="29" spans="2:7" x14ac:dyDescent="0.25">
      <c r="B29" s="21" t="s">
        <v>38</v>
      </c>
      <c r="C29" s="13" t="s">
        <v>25</v>
      </c>
      <c r="D29" s="1" t="s">
        <v>14</v>
      </c>
      <c r="E29" s="3">
        <v>5.3240740740740744E-4</v>
      </c>
      <c r="F29" s="4" t="str">
        <f t="shared" si="4"/>
        <v>ACOP A</v>
      </c>
      <c r="G29" s="4"/>
    </row>
    <row r="30" spans="2:7" x14ac:dyDescent="0.25">
      <c r="B30" s="21" t="s">
        <v>39</v>
      </c>
      <c r="C30" s="13" t="s">
        <v>25</v>
      </c>
      <c r="D30" s="1" t="s">
        <v>14</v>
      </c>
      <c r="E30" s="3">
        <v>5.5555555555555556E-4</v>
      </c>
      <c r="F30" s="4" t="str">
        <f t="shared" si="4"/>
        <v>ACOP A</v>
      </c>
      <c r="G30" s="4"/>
    </row>
    <row r="31" spans="2:7" x14ac:dyDescent="0.25">
      <c r="B31" s="21" t="s">
        <v>40</v>
      </c>
      <c r="C31" s="13" t="s">
        <v>25</v>
      </c>
      <c r="D31" s="2" t="s">
        <v>14</v>
      </c>
      <c r="E31" s="3">
        <v>5.7870370370370367E-4</v>
      </c>
      <c r="F31" s="4" t="str">
        <f t="shared" si="4"/>
        <v>ACOP A</v>
      </c>
      <c r="G31" s="4"/>
    </row>
    <row r="32" spans="2:7" x14ac:dyDescent="0.25">
      <c r="B32" s="21" t="s">
        <v>41</v>
      </c>
      <c r="C32" s="13" t="s">
        <v>25</v>
      </c>
      <c r="D32" s="2" t="s">
        <v>14</v>
      </c>
      <c r="E32" s="3">
        <v>5.7870370370370367E-4</v>
      </c>
      <c r="F32" s="4" t="str">
        <f t="shared" si="4"/>
        <v>ACOP A</v>
      </c>
      <c r="G32" s="4"/>
    </row>
    <row r="33" spans="2:7" x14ac:dyDescent="0.25">
      <c r="B33" s="21" t="s">
        <v>42</v>
      </c>
      <c r="C33" s="13" t="s">
        <v>25</v>
      </c>
      <c r="D33" s="2" t="s">
        <v>43</v>
      </c>
      <c r="E33" s="3">
        <v>6.7129629629629625E-4</v>
      </c>
      <c r="F33" s="4" t="str">
        <f t="shared" si="4"/>
        <v>ACOP A</v>
      </c>
      <c r="G33" s="4"/>
    </row>
    <row r="34" spans="2:7" x14ac:dyDescent="0.25">
      <c r="B34" s="21" t="s">
        <v>44</v>
      </c>
      <c r="C34" s="13" t="s">
        <v>25</v>
      </c>
      <c r="D34" s="2" t="s">
        <v>14</v>
      </c>
      <c r="E34" s="3">
        <v>4.6296296296296298E-4</v>
      </c>
      <c r="F34" s="4" t="str">
        <f t="shared" si="4"/>
        <v>ACOP A</v>
      </c>
      <c r="G34" s="4"/>
    </row>
    <row r="35" spans="2:7" x14ac:dyDescent="0.25">
      <c r="B35" s="21" t="s">
        <v>45</v>
      </c>
      <c r="C35" s="13" t="s">
        <v>25</v>
      </c>
      <c r="D35" s="2" t="s">
        <v>14</v>
      </c>
      <c r="E35" s="43">
        <v>0</v>
      </c>
      <c r="F35" s="44" t="s">
        <v>119</v>
      </c>
      <c r="G35" s="4" t="s">
        <v>12</v>
      </c>
    </row>
    <row r="36" spans="2:7" x14ac:dyDescent="0.25">
      <c r="B36" s="21" t="s">
        <v>46</v>
      </c>
      <c r="C36" s="13" t="s">
        <v>25</v>
      </c>
      <c r="D36" s="2" t="s">
        <v>47</v>
      </c>
      <c r="E36" s="3">
        <v>3.7037037037037035E-4</v>
      </c>
      <c r="F36" s="4" t="str">
        <f t="shared" ref="F36:F44" si="5">IF(E36&lt;=TIME(0,1,0),"ACOP A",IF(E36&lt;=TIME(0,1,30),"Bom","Ruim"))</f>
        <v>ACOP A</v>
      </c>
      <c r="G36" s="4"/>
    </row>
    <row r="37" spans="2:7" x14ac:dyDescent="0.25">
      <c r="B37" s="21" t="s">
        <v>48</v>
      </c>
      <c r="C37" s="13" t="s">
        <v>25</v>
      </c>
      <c r="D37" s="2" t="s">
        <v>14</v>
      </c>
      <c r="E37" s="3">
        <v>6.9444444444444447E-4</v>
      </c>
      <c r="F37" s="4" t="str">
        <f t="shared" si="5"/>
        <v>ACOP A</v>
      </c>
      <c r="G37" s="4"/>
    </row>
    <row r="38" spans="2:7" x14ac:dyDescent="0.25">
      <c r="B38" s="21" t="s">
        <v>49</v>
      </c>
      <c r="C38" s="13" t="s">
        <v>25</v>
      </c>
      <c r="D38" s="2" t="s">
        <v>43</v>
      </c>
      <c r="E38" s="3">
        <v>4.9768518518518521E-4</v>
      </c>
      <c r="F38" s="4" t="str">
        <f t="shared" si="5"/>
        <v>ACOP A</v>
      </c>
      <c r="G38" s="4"/>
    </row>
    <row r="39" spans="2:7" x14ac:dyDescent="0.25">
      <c r="B39" s="21" t="s">
        <v>50</v>
      </c>
      <c r="C39" s="13" t="s">
        <v>25</v>
      </c>
      <c r="D39" s="2" t="s">
        <v>43</v>
      </c>
      <c r="E39" s="3">
        <v>6.9444444444444447E-4</v>
      </c>
      <c r="F39" s="4" t="str">
        <f t="shared" si="5"/>
        <v>ACOP A</v>
      </c>
      <c r="G39" s="4"/>
    </row>
    <row r="40" spans="2:7" x14ac:dyDescent="0.25">
      <c r="B40" s="21" t="s">
        <v>51</v>
      </c>
      <c r="C40" s="13" t="s">
        <v>25</v>
      </c>
      <c r="D40" s="2" t="s">
        <v>52</v>
      </c>
      <c r="E40" s="3">
        <v>6.5972222222222224E-4</v>
      </c>
      <c r="F40" s="4" t="str">
        <f t="shared" si="5"/>
        <v>ACOP A</v>
      </c>
      <c r="G40" s="4"/>
    </row>
    <row r="41" spans="2:7" x14ac:dyDescent="0.25">
      <c r="B41" s="21" t="s">
        <v>53</v>
      </c>
      <c r="C41" s="13" t="s">
        <v>25</v>
      </c>
      <c r="D41" s="2" t="s">
        <v>14</v>
      </c>
      <c r="E41" s="3">
        <v>4.7453703703703704E-4</v>
      </c>
      <c r="F41" s="4" t="str">
        <f t="shared" si="5"/>
        <v>ACOP A</v>
      </c>
      <c r="G41" s="4"/>
    </row>
    <row r="42" spans="2:7" x14ac:dyDescent="0.25">
      <c r="B42" s="21" t="s">
        <v>54</v>
      </c>
      <c r="C42" s="13" t="s">
        <v>25</v>
      </c>
      <c r="D42" s="1" t="s">
        <v>43</v>
      </c>
      <c r="E42" s="3">
        <v>5.9027777777777778E-4</v>
      </c>
      <c r="F42" s="4" t="str">
        <f t="shared" si="5"/>
        <v>ACOP A</v>
      </c>
      <c r="G42" s="4"/>
    </row>
    <row r="43" spans="2:7" x14ac:dyDescent="0.25">
      <c r="B43" s="21" t="s">
        <v>55</v>
      </c>
      <c r="C43" s="13" t="s">
        <v>25</v>
      </c>
      <c r="D43" s="2" t="s">
        <v>56</v>
      </c>
      <c r="E43" s="3">
        <v>4.0509259259259258E-4</v>
      </c>
      <c r="F43" s="4" t="str">
        <f t="shared" si="5"/>
        <v>ACOP A</v>
      </c>
      <c r="G43" s="4"/>
    </row>
    <row r="44" spans="2:7" x14ac:dyDescent="0.25">
      <c r="B44" s="21" t="s">
        <v>57</v>
      </c>
      <c r="C44" s="13" t="s">
        <v>25</v>
      </c>
      <c r="D44" s="2" t="s">
        <v>58</v>
      </c>
      <c r="E44" s="3">
        <v>5.5555555555555556E-4</v>
      </c>
      <c r="F44" s="4" t="str">
        <f t="shared" si="5"/>
        <v>ACOP A</v>
      </c>
      <c r="G44" s="4"/>
    </row>
    <row r="45" spans="2:7" x14ac:dyDescent="0.25">
      <c r="B45" s="21" t="s">
        <v>59</v>
      </c>
      <c r="C45" s="13" t="s">
        <v>25</v>
      </c>
      <c r="D45" s="2" t="s">
        <v>14</v>
      </c>
      <c r="E45" s="3">
        <v>7.8703703703703705E-4</v>
      </c>
      <c r="F45" s="4" t="str">
        <f t="shared" ref="F45:F46" si="6">IF(E45&lt;=TIME(0,1,0),"Excelente",IF(E45&lt;=TIME(0,1,30),"ACOP B","Ruim"))</f>
        <v>ACOP B</v>
      </c>
      <c r="G45" s="4"/>
    </row>
    <row r="46" spans="2:7" x14ac:dyDescent="0.25">
      <c r="B46" s="21" t="s">
        <v>60</v>
      </c>
      <c r="C46" s="13" t="s">
        <v>25</v>
      </c>
      <c r="D46" s="2" t="s">
        <v>14</v>
      </c>
      <c r="E46" s="3">
        <v>7.0601851851851847E-4</v>
      </c>
      <c r="F46" s="4" t="str">
        <f t="shared" si="6"/>
        <v>ACOP B</v>
      </c>
      <c r="G46" s="4"/>
    </row>
    <row r="47" spans="2:7" x14ac:dyDescent="0.25">
      <c r="B47" s="21" t="s">
        <v>61</v>
      </c>
      <c r="C47" s="13" t="s">
        <v>25</v>
      </c>
      <c r="D47" s="2" t="s">
        <v>14</v>
      </c>
      <c r="E47" s="3">
        <v>6.7129629629629625E-4</v>
      </c>
      <c r="F47" s="4" t="str">
        <f t="shared" ref="F47:F50" si="7">IF(E47&lt;=TIME(0,1,0),"ACOP A",IF(E47&lt;=TIME(0,1,30),"Bom","Ruim"))</f>
        <v>ACOP A</v>
      </c>
      <c r="G47" s="4"/>
    </row>
    <row r="48" spans="2:7" x14ac:dyDescent="0.25">
      <c r="B48" s="21" t="s">
        <v>62</v>
      </c>
      <c r="C48" s="13" t="s">
        <v>25</v>
      </c>
      <c r="D48" s="1" t="s">
        <v>14</v>
      </c>
      <c r="E48" s="3">
        <v>6.9444444444444447E-4</v>
      </c>
      <c r="F48" s="4" t="str">
        <f t="shared" si="7"/>
        <v>ACOP A</v>
      </c>
      <c r="G48" s="4"/>
    </row>
    <row r="49" spans="2:7" x14ac:dyDescent="0.25">
      <c r="B49" s="33" t="s">
        <v>63</v>
      </c>
      <c r="C49" s="24" t="s">
        <v>64</v>
      </c>
      <c r="D49" s="22" t="s">
        <v>58</v>
      </c>
      <c r="E49" s="3">
        <v>4.9768518518518521E-4</v>
      </c>
      <c r="F49" s="4" t="str">
        <f t="shared" si="7"/>
        <v>ACOP A</v>
      </c>
      <c r="G49" s="4"/>
    </row>
    <row r="50" spans="2:7" x14ac:dyDescent="0.25">
      <c r="B50" s="33" t="s">
        <v>65</v>
      </c>
      <c r="C50" s="24" t="s">
        <v>64</v>
      </c>
      <c r="D50" s="22" t="s">
        <v>56</v>
      </c>
      <c r="E50" s="3">
        <v>6.018518518518519E-4</v>
      </c>
      <c r="F50" s="4" t="str">
        <f t="shared" si="7"/>
        <v>ACOP A</v>
      </c>
      <c r="G50" s="4"/>
    </row>
    <row r="51" spans="2:7" x14ac:dyDescent="0.25">
      <c r="B51" s="33" t="s">
        <v>66</v>
      </c>
      <c r="C51" s="24" t="s">
        <v>64</v>
      </c>
      <c r="D51" s="22" t="s">
        <v>47</v>
      </c>
      <c r="E51" s="3">
        <v>7.6388888888888893E-4</v>
      </c>
      <c r="F51" s="4" t="str">
        <f>IF(E51&lt;=TIME(0,1,0),"Excelente",IF(E51&lt;=TIME(0,1,30),"ACOP B","Ruim"))</f>
        <v>ACOP B</v>
      </c>
      <c r="G51" s="4"/>
    </row>
    <row r="52" spans="2:7" x14ac:dyDescent="0.25">
      <c r="B52" s="33" t="s">
        <v>67</v>
      </c>
      <c r="C52" s="24" t="s">
        <v>64</v>
      </c>
      <c r="D52" s="22" t="s">
        <v>43</v>
      </c>
      <c r="E52" s="3">
        <v>6.2500000000000001E-4</v>
      </c>
      <c r="F52" s="4" t="str">
        <f t="shared" ref="F52:F56" si="8">IF(E52&lt;=TIME(0,1,0),"ACOP A",IF(E52&lt;=TIME(0,1,30),"Bom","Ruim"))</f>
        <v>ACOP A</v>
      </c>
      <c r="G52" s="4"/>
    </row>
    <row r="53" spans="2:7" x14ac:dyDescent="0.25">
      <c r="B53" s="33" t="s">
        <v>68</v>
      </c>
      <c r="C53" s="24" t="s">
        <v>64</v>
      </c>
      <c r="D53" s="22" t="s">
        <v>36</v>
      </c>
      <c r="E53" s="3">
        <v>6.8287037037037036E-4</v>
      </c>
      <c r="F53" s="4" t="str">
        <f t="shared" si="8"/>
        <v>ACOP A</v>
      </c>
      <c r="G53" s="4"/>
    </row>
    <row r="54" spans="2:7" x14ac:dyDescent="0.25">
      <c r="B54" s="33" t="s">
        <v>69</v>
      </c>
      <c r="C54" s="24" t="s">
        <v>64</v>
      </c>
      <c r="D54" s="22" t="s">
        <v>36</v>
      </c>
      <c r="E54" s="3">
        <v>6.018518518518519E-4</v>
      </c>
      <c r="F54" s="4" t="str">
        <f t="shared" si="8"/>
        <v>ACOP A</v>
      </c>
      <c r="G54" s="4"/>
    </row>
    <row r="55" spans="2:7" x14ac:dyDescent="0.25">
      <c r="B55" s="33" t="s">
        <v>70</v>
      </c>
      <c r="C55" s="24" t="s">
        <v>64</v>
      </c>
      <c r="D55" s="22" t="s">
        <v>14</v>
      </c>
      <c r="E55" s="3">
        <v>6.7129629629629625E-4</v>
      </c>
      <c r="F55" s="4" t="str">
        <f t="shared" si="8"/>
        <v>ACOP A</v>
      </c>
      <c r="G55" s="4"/>
    </row>
    <row r="56" spans="2:7" x14ac:dyDescent="0.25">
      <c r="B56" s="33" t="s">
        <v>71</v>
      </c>
      <c r="C56" s="24" t="s">
        <v>64</v>
      </c>
      <c r="D56" s="22" t="s">
        <v>14</v>
      </c>
      <c r="E56" s="3">
        <v>5.7870370370370367E-4</v>
      </c>
      <c r="F56" s="4" t="str">
        <f t="shared" si="8"/>
        <v>ACOP A</v>
      </c>
      <c r="G56" s="4"/>
    </row>
    <row r="57" spans="2:7" x14ac:dyDescent="0.25">
      <c r="B57" s="33" t="s">
        <v>72</v>
      </c>
      <c r="C57" s="24" t="s">
        <v>64</v>
      </c>
      <c r="D57" s="22" t="s">
        <v>43</v>
      </c>
      <c r="E57" s="3">
        <v>8.564814814814815E-4</v>
      </c>
      <c r="F57" s="4" t="str">
        <f>IF(E57&lt;=TIME(0,1,0),"Excelente",IF(E57&lt;=TIME(0,1,30),"ACOP B","Ruim"))</f>
        <v>ACOP B</v>
      </c>
      <c r="G57" s="4"/>
    </row>
    <row r="58" spans="2:7" x14ac:dyDescent="0.25">
      <c r="B58" s="33" t="s">
        <v>73</v>
      </c>
      <c r="C58" s="24" t="s">
        <v>64</v>
      </c>
      <c r="D58" s="22" t="s">
        <v>14</v>
      </c>
      <c r="E58" s="43">
        <v>0</v>
      </c>
      <c r="F58" s="44" t="s">
        <v>119</v>
      </c>
      <c r="G58" s="4" t="s">
        <v>12</v>
      </c>
    </row>
    <row r="59" spans="2:7" x14ac:dyDescent="0.25">
      <c r="B59" s="33" t="s">
        <v>74</v>
      </c>
      <c r="C59" s="24" t="s">
        <v>64</v>
      </c>
      <c r="D59" s="22" t="s">
        <v>14</v>
      </c>
      <c r="E59" s="3">
        <v>5.6712962962962967E-4</v>
      </c>
      <c r="F59" s="4" t="str">
        <f t="shared" ref="F59:F62" si="9">IF(E59&lt;=TIME(0,1,0),"ACOP A",IF(E59&lt;=TIME(0,1,30),"Bom","Ruim"))</f>
        <v>ACOP A</v>
      </c>
      <c r="G59" s="4"/>
    </row>
    <row r="60" spans="2:7" x14ac:dyDescent="0.25">
      <c r="B60" s="33" t="s">
        <v>75</v>
      </c>
      <c r="C60" s="24" t="s">
        <v>64</v>
      </c>
      <c r="D60" s="22" t="s">
        <v>14</v>
      </c>
      <c r="E60" s="3">
        <v>6.2500000000000001E-4</v>
      </c>
      <c r="F60" s="4" t="str">
        <f t="shared" si="9"/>
        <v>ACOP A</v>
      </c>
      <c r="G60" s="4"/>
    </row>
    <row r="61" spans="2:7" x14ac:dyDescent="0.25">
      <c r="B61" s="33" t="s">
        <v>76</v>
      </c>
      <c r="C61" s="24" t="s">
        <v>64</v>
      </c>
      <c r="D61" s="22" t="s">
        <v>14</v>
      </c>
      <c r="E61" s="3">
        <v>6.018518518518519E-4</v>
      </c>
      <c r="F61" s="4" t="str">
        <f t="shared" si="9"/>
        <v>ACOP A</v>
      </c>
      <c r="G61" s="4"/>
    </row>
    <row r="62" spans="2:7" x14ac:dyDescent="0.25">
      <c r="B62" s="33" t="s">
        <v>77</v>
      </c>
      <c r="C62" s="25" t="s">
        <v>64</v>
      </c>
      <c r="D62" s="22" t="s">
        <v>36</v>
      </c>
      <c r="E62" s="3">
        <v>5.2083333333333333E-4</v>
      </c>
      <c r="F62" s="4" t="str">
        <f t="shared" si="9"/>
        <v>ACOP A</v>
      </c>
      <c r="G62" s="4"/>
    </row>
    <row r="63" spans="2:7" x14ac:dyDescent="0.25">
      <c r="B63" s="33" t="s">
        <v>78</v>
      </c>
      <c r="C63" s="25" t="s">
        <v>64</v>
      </c>
      <c r="D63" s="22" t="s">
        <v>43</v>
      </c>
      <c r="E63" s="3">
        <v>7.6388888888888893E-4</v>
      </c>
      <c r="F63" s="4" t="str">
        <f t="shared" ref="F63:F67" si="10">IF(E63&lt;=TIME(0,1,0),"Excelente",IF(E63&lt;=TIME(0,1,30),"ACOP B","Ruim"))</f>
        <v>ACOP B</v>
      </c>
      <c r="G63" s="4"/>
    </row>
    <row r="64" spans="2:7" x14ac:dyDescent="0.25">
      <c r="B64" s="33" t="s">
        <v>79</v>
      </c>
      <c r="C64" s="25" t="s">
        <v>64</v>
      </c>
      <c r="D64" s="23" t="s">
        <v>14</v>
      </c>
      <c r="E64" s="3">
        <v>7.5231481481481482E-4</v>
      </c>
      <c r="F64" s="4" t="str">
        <f t="shared" si="10"/>
        <v>ACOP B</v>
      </c>
      <c r="G64" s="4"/>
    </row>
    <row r="65" spans="2:7" x14ac:dyDescent="0.25">
      <c r="B65" s="33" t="s">
        <v>80</v>
      </c>
      <c r="C65" s="24" t="s">
        <v>64</v>
      </c>
      <c r="D65" s="22" t="s">
        <v>14</v>
      </c>
      <c r="E65" s="3">
        <v>7.6388888888888893E-4</v>
      </c>
      <c r="F65" s="4" t="str">
        <f t="shared" si="10"/>
        <v>ACOP B</v>
      </c>
      <c r="G65" s="4"/>
    </row>
    <row r="66" spans="2:7" x14ac:dyDescent="0.25">
      <c r="B66" s="33" t="s">
        <v>81</v>
      </c>
      <c r="C66" s="24" t="s">
        <v>64</v>
      </c>
      <c r="D66" s="22" t="s">
        <v>14</v>
      </c>
      <c r="E66" s="3">
        <v>9.0277777777777774E-4</v>
      </c>
      <c r="F66" s="4" t="str">
        <f t="shared" si="10"/>
        <v>ACOP B</v>
      </c>
      <c r="G66" s="4"/>
    </row>
    <row r="67" spans="2:7" x14ac:dyDescent="0.25">
      <c r="B67" s="33" t="s">
        <v>82</v>
      </c>
      <c r="C67" s="24" t="s">
        <v>64</v>
      </c>
      <c r="D67" s="22" t="s">
        <v>14</v>
      </c>
      <c r="E67" s="3">
        <v>7.407407407407407E-4</v>
      </c>
      <c r="F67" s="4" t="str">
        <f t="shared" si="10"/>
        <v>ACOP B</v>
      </c>
      <c r="G67" s="4"/>
    </row>
    <row r="68" spans="2:7" x14ac:dyDescent="0.25">
      <c r="B68" s="33" t="s">
        <v>83</v>
      </c>
      <c r="C68" s="24" t="s">
        <v>64</v>
      </c>
      <c r="D68" s="22" t="s">
        <v>14</v>
      </c>
      <c r="E68" s="3">
        <v>4.861111111111111E-4</v>
      </c>
      <c r="F68" s="4" t="str">
        <f t="shared" ref="F68:F70" si="11">IF(E68&lt;=TIME(0,1,0),"ACOP A",IF(E68&lt;=TIME(0,1,30),"Bom","Ruim"))</f>
        <v>ACOP A</v>
      </c>
      <c r="G68" s="4"/>
    </row>
    <row r="69" spans="2:7" x14ac:dyDescent="0.25">
      <c r="B69" s="33" t="s">
        <v>84</v>
      </c>
      <c r="C69" s="24" t="s">
        <v>64</v>
      </c>
      <c r="D69" s="22" t="s">
        <v>14</v>
      </c>
      <c r="E69" s="3">
        <v>5.7870370370370367E-4</v>
      </c>
      <c r="F69" s="4" t="str">
        <f t="shared" si="11"/>
        <v>ACOP A</v>
      </c>
      <c r="G69" s="4"/>
    </row>
    <row r="70" spans="2:7" x14ac:dyDescent="0.25">
      <c r="B70" s="21" t="s">
        <v>85</v>
      </c>
      <c r="C70" s="11" t="s">
        <v>86</v>
      </c>
      <c r="D70" s="1" t="s">
        <v>58</v>
      </c>
      <c r="E70" s="3">
        <v>6.8287037037037036E-4</v>
      </c>
      <c r="F70" s="4" t="str">
        <f t="shared" si="11"/>
        <v>ACOP A</v>
      </c>
      <c r="G70" s="4"/>
    </row>
    <row r="71" spans="2:7" x14ac:dyDescent="0.25">
      <c r="B71" s="21" t="s">
        <v>87</v>
      </c>
      <c r="C71" s="11" t="s">
        <v>86</v>
      </c>
      <c r="D71" s="1" t="s">
        <v>43</v>
      </c>
      <c r="E71" s="43">
        <v>0</v>
      </c>
      <c r="F71" s="44" t="s">
        <v>119</v>
      </c>
      <c r="G71" s="4" t="s">
        <v>12</v>
      </c>
    </row>
    <row r="72" spans="2:7" x14ac:dyDescent="0.25">
      <c r="B72" s="21" t="s">
        <v>88</v>
      </c>
      <c r="C72" s="11" t="s">
        <v>86</v>
      </c>
      <c r="D72" s="1" t="s">
        <v>52</v>
      </c>
      <c r="E72" s="3">
        <v>5.9027777777777778E-4</v>
      </c>
      <c r="F72" s="4" t="str">
        <f>IF(E72&lt;=TIME(0,1,0),"ACOP A",IF(E72&lt;=TIME(0,1,30),"Bom","Ruim"))</f>
        <v>ACOP A</v>
      </c>
      <c r="G72" s="4"/>
    </row>
    <row r="73" spans="2:7" x14ac:dyDescent="0.25">
      <c r="B73" s="21" t="s">
        <v>89</v>
      </c>
      <c r="C73" s="11" t="s">
        <v>86</v>
      </c>
      <c r="D73" s="1" t="s">
        <v>52</v>
      </c>
      <c r="E73" s="43">
        <v>0</v>
      </c>
      <c r="F73" s="44" t="s">
        <v>119</v>
      </c>
      <c r="G73" s="4" t="s">
        <v>12</v>
      </c>
    </row>
    <row r="74" spans="2:7" x14ac:dyDescent="0.25">
      <c r="B74" s="21" t="s">
        <v>90</v>
      </c>
      <c r="C74" s="11" t="s">
        <v>86</v>
      </c>
      <c r="D74" s="1" t="s">
        <v>14</v>
      </c>
      <c r="E74" s="3">
        <v>6.5972222222222224E-4</v>
      </c>
      <c r="F74" s="4" t="str">
        <f>IF(E74&lt;=TIME(0,1,0),"ACOP A",IF(E74&lt;=TIME(0,1,30),"Bom","Ruim"))</f>
        <v>ACOP A</v>
      </c>
      <c r="G74" s="4"/>
    </row>
    <row r="75" spans="2:7" x14ac:dyDescent="0.25">
      <c r="B75" s="21" t="s">
        <v>91</v>
      </c>
      <c r="C75" s="11" t="s">
        <v>86</v>
      </c>
      <c r="D75" s="1" t="s">
        <v>14</v>
      </c>
      <c r="E75" s="3">
        <v>8.1018518518518516E-4</v>
      </c>
      <c r="F75" s="4" t="str">
        <f>IF(E75&lt;=TIME(0,1,0),"Excelente",IF(E75&lt;=TIME(0,1,30),"ACOP B","Ruim"))</f>
        <v>ACOP B</v>
      </c>
      <c r="G75" s="4"/>
    </row>
    <row r="76" spans="2:7" x14ac:dyDescent="0.25">
      <c r="B76" s="21" t="s">
        <v>92</v>
      </c>
      <c r="C76" s="11" t="s">
        <v>86</v>
      </c>
      <c r="D76" s="1" t="s">
        <v>14</v>
      </c>
      <c r="E76" s="3">
        <v>5.3240740740740744E-4</v>
      </c>
      <c r="F76" s="4" t="str">
        <f t="shared" ref="F76:F93" si="12">IF(E76&lt;=TIME(0,1,0),"ACOP A",IF(E76&lt;=TIME(0,1,30),"Bom","Ruim"))</f>
        <v>ACOP A</v>
      </c>
      <c r="G76" s="4"/>
    </row>
    <row r="77" spans="2:7" x14ac:dyDescent="0.25">
      <c r="B77" s="21" t="s">
        <v>93</v>
      </c>
      <c r="C77" s="11" t="s">
        <v>86</v>
      </c>
      <c r="D77" s="1" t="s">
        <v>56</v>
      </c>
      <c r="E77" s="3">
        <v>6.2500000000000001E-4</v>
      </c>
      <c r="F77" s="4" t="str">
        <f t="shared" si="12"/>
        <v>ACOP A</v>
      </c>
      <c r="G77" s="4"/>
    </row>
    <row r="78" spans="2:7" x14ac:dyDescent="0.25">
      <c r="B78" s="21" t="s">
        <v>94</v>
      </c>
      <c r="C78" s="11" t="s">
        <v>86</v>
      </c>
      <c r="D78" s="1" t="s">
        <v>14</v>
      </c>
      <c r="E78" s="3">
        <v>5.6712962962962967E-4</v>
      </c>
      <c r="F78" s="4" t="str">
        <f t="shared" si="12"/>
        <v>ACOP A</v>
      </c>
      <c r="G78" s="4"/>
    </row>
    <row r="79" spans="2:7" x14ac:dyDescent="0.25">
      <c r="B79" s="21" t="s">
        <v>95</v>
      </c>
      <c r="C79" s="11" t="s">
        <v>86</v>
      </c>
      <c r="D79" s="1" t="s">
        <v>43</v>
      </c>
      <c r="E79" s="3">
        <v>6.2500000000000001E-4</v>
      </c>
      <c r="F79" s="4" t="str">
        <f t="shared" si="12"/>
        <v>ACOP A</v>
      </c>
      <c r="G79" s="4"/>
    </row>
    <row r="80" spans="2:7" x14ac:dyDescent="0.25">
      <c r="B80" s="21" t="s">
        <v>96</v>
      </c>
      <c r="C80" s="11" t="s">
        <v>86</v>
      </c>
      <c r="D80" s="1" t="s">
        <v>14</v>
      </c>
      <c r="E80" s="3">
        <v>6.2500000000000001E-4</v>
      </c>
      <c r="F80" s="4" t="str">
        <f t="shared" si="12"/>
        <v>ACOP A</v>
      </c>
      <c r="G80" s="4"/>
    </row>
    <row r="81" spans="2:7" x14ac:dyDescent="0.25">
      <c r="B81" s="21" t="s">
        <v>97</v>
      </c>
      <c r="C81" s="11" t="s">
        <v>86</v>
      </c>
      <c r="D81" s="1" t="s">
        <v>43</v>
      </c>
      <c r="E81" s="3">
        <v>6.018518518518519E-4</v>
      </c>
      <c r="F81" s="4" t="str">
        <f t="shared" si="12"/>
        <v>ACOP A</v>
      </c>
      <c r="G81" s="4"/>
    </row>
    <row r="82" spans="2:7" x14ac:dyDescent="0.25">
      <c r="B82" s="21" t="s">
        <v>98</v>
      </c>
      <c r="C82" s="11" t="s">
        <v>86</v>
      </c>
      <c r="D82" s="1" t="s">
        <v>14</v>
      </c>
      <c r="E82" s="3">
        <v>6.4814814814814813E-4</v>
      </c>
      <c r="F82" s="4" t="str">
        <f t="shared" si="12"/>
        <v>ACOP A</v>
      </c>
      <c r="G82" s="4"/>
    </row>
    <row r="83" spans="2:7" x14ac:dyDescent="0.25">
      <c r="B83" s="21" t="s">
        <v>99</v>
      </c>
      <c r="C83" s="11" t="s">
        <v>86</v>
      </c>
      <c r="D83" s="1" t="s">
        <v>14</v>
      </c>
      <c r="E83" s="3">
        <v>6.5972222222222224E-4</v>
      </c>
      <c r="F83" s="4" t="str">
        <f t="shared" si="12"/>
        <v>ACOP A</v>
      </c>
      <c r="G83" s="4"/>
    </row>
    <row r="84" spans="2:7" x14ac:dyDescent="0.25">
      <c r="B84" s="30" t="s">
        <v>100</v>
      </c>
      <c r="C84" s="27" t="s">
        <v>86</v>
      </c>
      <c r="D84" s="31" t="s">
        <v>43</v>
      </c>
      <c r="E84" s="32">
        <v>5.0925925925925921E-4</v>
      </c>
      <c r="F84" s="4" t="str">
        <f t="shared" si="12"/>
        <v>ACOP A</v>
      </c>
      <c r="G84" s="4"/>
    </row>
    <row r="85" spans="2:7" x14ac:dyDescent="0.25">
      <c r="B85" s="30" t="s">
        <v>101</v>
      </c>
      <c r="C85" s="27" t="s">
        <v>86</v>
      </c>
      <c r="D85" s="1" t="s">
        <v>14</v>
      </c>
      <c r="E85" s="3">
        <v>5.7870370370370367E-4</v>
      </c>
      <c r="F85" s="4" t="str">
        <f t="shared" si="12"/>
        <v>ACOP A</v>
      </c>
      <c r="G85" s="4"/>
    </row>
    <row r="86" spans="2:7" x14ac:dyDescent="0.25">
      <c r="B86" s="21" t="s">
        <v>102</v>
      </c>
      <c r="C86" s="11" t="s">
        <v>86</v>
      </c>
      <c r="D86" s="1" t="s">
        <v>43</v>
      </c>
      <c r="E86" s="3">
        <v>6.5972222222222224E-4</v>
      </c>
      <c r="F86" s="4" t="str">
        <f t="shared" si="12"/>
        <v>ACOP A</v>
      </c>
      <c r="G86" s="4"/>
    </row>
    <row r="87" spans="2:7" x14ac:dyDescent="0.25">
      <c r="B87" s="28" t="s">
        <v>103</v>
      </c>
      <c r="C87" s="11" t="s">
        <v>86</v>
      </c>
      <c r="D87" s="29" t="s">
        <v>43</v>
      </c>
      <c r="E87" s="3">
        <v>4.1666666666666669E-4</v>
      </c>
      <c r="F87" s="4" t="str">
        <f t="shared" si="12"/>
        <v>ACOP A</v>
      </c>
      <c r="G87" s="4"/>
    </row>
    <row r="88" spans="2:7" x14ac:dyDescent="0.25">
      <c r="B88" s="21" t="s">
        <v>104</v>
      </c>
      <c r="C88" s="11" t="s">
        <v>86</v>
      </c>
      <c r="D88" s="1" t="s">
        <v>14</v>
      </c>
      <c r="E88" s="3">
        <v>5.4398148148148144E-4</v>
      </c>
      <c r="F88" s="4" t="str">
        <f t="shared" si="12"/>
        <v>ACOP A</v>
      </c>
      <c r="G88" s="4"/>
    </row>
    <row r="89" spans="2:7" x14ac:dyDescent="0.25">
      <c r="B89" s="21" t="s">
        <v>105</v>
      </c>
      <c r="C89" s="27" t="s">
        <v>86</v>
      </c>
      <c r="D89" s="29" t="s">
        <v>14</v>
      </c>
      <c r="E89" s="3">
        <v>6.3657407407407413E-4</v>
      </c>
      <c r="F89" s="4" t="str">
        <f t="shared" si="12"/>
        <v>ACOP A</v>
      </c>
      <c r="G89" s="4"/>
    </row>
    <row r="90" spans="2:7" x14ac:dyDescent="0.25">
      <c r="B90" s="28" t="s">
        <v>106</v>
      </c>
      <c r="C90" s="26" t="s">
        <v>86</v>
      </c>
      <c r="D90" s="29" t="s">
        <v>36</v>
      </c>
      <c r="E90" s="3">
        <v>6.134259259259259E-4</v>
      </c>
      <c r="F90" s="4" t="str">
        <f t="shared" si="12"/>
        <v>ACOP A</v>
      </c>
      <c r="G90" s="4"/>
    </row>
    <row r="91" spans="2:7" x14ac:dyDescent="0.25">
      <c r="B91" s="33" t="s">
        <v>108</v>
      </c>
      <c r="C91" s="35" t="s">
        <v>109</v>
      </c>
      <c r="D91" s="22" t="s">
        <v>43</v>
      </c>
      <c r="E91" s="3">
        <v>6.018518518518519E-4</v>
      </c>
      <c r="F91" s="4" t="str">
        <f t="shared" si="12"/>
        <v>ACOP A</v>
      </c>
      <c r="G91" s="4"/>
    </row>
    <row r="92" spans="2:7" x14ac:dyDescent="0.25">
      <c r="B92" s="33" t="s">
        <v>110</v>
      </c>
      <c r="C92" s="35" t="s">
        <v>109</v>
      </c>
      <c r="D92" s="22" t="s">
        <v>36</v>
      </c>
      <c r="E92" s="3">
        <v>6.8287037037037036E-4</v>
      </c>
      <c r="F92" s="4" t="str">
        <f t="shared" si="12"/>
        <v>ACOP A</v>
      </c>
      <c r="G92" s="4"/>
    </row>
    <row r="93" spans="2:7" x14ac:dyDescent="0.25">
      <c r="B93" s="33" t="s">
        <v>111</v>
      </c>
      <c r="C93" s="35" t="s">
        <v>109</v>
      </c>
      <c r="D93" s="22" t="s">
        <v>36</v>
      </c>
      <c r="E93" s="3">
        <v>5.9027777777777778E-4</v>
      </c>
      <c r="F93" s="4" t="str">
        <f t="shared" si="12"/>
        <v>ACOP A</v>
      </c>
      <c r="G93" s="4"/>
    </row>
    <row r="94" spans="2:7" x14ac:dyDescent="0.25">
      <c r="B94" s="33" t="s">
        <v>112</v>
      </c>
      <c r="C94" s="35" t="s">
        <v>109</v>
      </c>
      <c r="D94" s="22" t="s">
        <v>14</v>
      </c>
      <c r="E94" s="39" t="s">
        <v>30</v>
      </c>
      <c r="F94" s="40"/>
      <c r="G94" s="4"/>
    </row>
    <row r="95" spans="2:7" x14ac:dyDescent="0.25">
      <c r="C95" s="37" t="s">
        <v>113</v>
      </c>
      <c r="D95" s="38"/>
    </row>
    <row r="96" spans="2:7" x14ac:dyDescent="0.25">
      <c r="C96" s="14" t="s">
        <v>107</v>
      </c>
      <c r="D96" s="15" t="s">
        <v>114</v>
      </c>
    </row>
    <row r="97" spans="3:4" x14ac:dyDescent="0.25">
      <c r="C97" s="16">
        <f>COUNTIF(F6:F84,"Excelente")</f>
        <v>0</v>
      </c>
      <c r="D97" s="17">
        <f>COUNTIF(F6:F84,"Bom")</f>
        <v>0</v>
      </c>
    </row>
  </sheetData>
  <autoFilter ref="B5:F97">
    <sortState ref="B6:F84">
      <sortCondition ref="D5:D84"/>
    </sortState>
  </autoFilter>
  <sortState ref="B6:D48">
    <sortCondition ref="B6:B48"/>
  </sortState>
  <mergeCells count="3">
    <mergeCell ref="B1:F4"/>
    <mergeCell ref="C95:D95"/>
    <mergeCell ref="E94:F94"/>
  </mergeCells>
  <conditionalFormatting sqref="F72 F36:F57 F59:F70 F74:F93 F6 F25:F34 F9:F22">
    <cfRule type="cellIs" dxfId="43" priority="5" operator="equal">
      <formula>"Bom"</formula>
    </cfRule>
    <cfRule type="cellIs" dxfId="42" priority="6" operator="equal">
      <formula>"Excelente"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4"/>
  <sheetViews>
    <sheetView workbookViewId="0">
      <selection activeCell="C8" sqref="C8"/>
    </sheetView>
  </sheetViews>
  <sheetFormatPr defaultRowHeight="15" x14ac:dyDescent="0.25"/>
  <sheetData>
    <row r="2" spans="2:4" x14ac:dyDescent="0.25">
      <c r="B2" s="5" t="s">
        <v>115</v>
      </c>
      <c r="C2" s="5">
        <f>SUM(C3,C4)</f>
        <v>0</v>
      </c>
      <c r="D2" s="6" t="s">
        <v>116</v>
      </c>
    </row>
    <row r="3" spans="2:4" x14ac:dyDescent="0.25">
      <c r="B3" s="9" t="s">
        <v>107</v>
      </c>
      <c r="C3" s="9">
        <f>JULHO!C97</f>
        <v>0</v>
      </c>
      <c r="D3" s="10" t="e">
        <f>C3/C2</f>
        <v>#DIV/0!</v>
      </c>
    </row>
    <row r="4" spans="2:4" x14ac:dyDescent="0.25">
      <c r="B4" s="7" t="s">
        <v>114</v>
      </c>
      <c r="C4" s="7">
        <f>JULHO!D97</f>
        <v>0</v>
      </c>
      <c r="D4" s="8" t="e">
        <f>C4/C2</f>
        <v>#DIV/0!</v>
      </c>
    </row>
  </sheetData>
  <pageMargins left="0.511811024" right="0.511811024" top="0.78740157499999996" bottom="0.78740157499999996" header="0.31496062000000002" footer="0.31496062000000002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00078c-d3eb-436f-b287-c570e1e30ec0" xsi:nil="true"/>
    <lcf76f155ced4ddcb4097134ff3c332f xmlns="1b04beef-6714-4461-bb03-a5c46a41fd0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DE4CB2CF3C90548A588F5FBF4FA9CF0" ma:contentTypeVersion="15" ma:contentTypeDescription="Crie um novo documento." ma:contentTypeScope="" ma:versionID="699e9daa865e3aa55335949f799a860f">
  <xsd:schema xmlns:xsd="http://www.w3.org/2001/XMLSchema" xmlns:xs="http://www.w3.org/2001/XMLSchema" xmlns:p="http://schemas.microsoft.com/office/2006/metadata/properties" xmlns:ns2="1b04beef-6714-4461-bb03-a5c46a41fd01" xmlns:ns3="8500078c-d3eb-436f-b287-c570e1e30ec0" targetNamespace="http://schemas.microsoft.com/office/2006/metadata/properties" ma:root="true" ma:fieldsID="41c79e0606d133c28c236b2668c6e84e" ns2:_="" ns3:_="">
    <xsd:import namespace="1b04beef-6714-4461-bb03-a5c46a41fd01"/>
    <xsd:import namespace="8500078c-d3eb-436f-b287-c570e1e30e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04beef-6714-4461-bb03-a5c46a41fd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ca6734-0c51-4070-8d01-d2e28aa1cd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00078c-d3eb-436f-b287-c570e1e30ec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3905c06-8d52-4156-a92f-1e4d4fa65eed}" ma:internalName="TaxCatchAll" ma:showField="CatchAllData" ma:web="8500078c-d3eb-436f-b287-c570e1e30e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EA5D59-76B6-42EF-A2CD-6DCBB38EEA56}">
  <ds:schemaRefs>
    <ds:schemaRef ds:uri="http://schemas.microsoft.com/office/2006/metadata/properties"/>
    <ds:schemaRef ds:uri="http://schemas.microsoft.com/office/infopath/2007/PartnerControls"/>
    <ds:schemaRef ds:uri="8500078c-d3eb-436f-b287-c570e1e30ec0"/>
    <ds:schemaRef ds:uri="1b04beef-6714-4461-bb03-a5c46a41fd01"/>
  </ds:schemaRefs>
</ds:datastoreItem>
</file>

<file path=customXml/itemProps2.xml><?xml version="1.0" encoding="utf-8"?>
<ds:datastoreItem xmlns:ds="http://schemas.openxmlformats.org/officeDocument/2006/customXml" ds:itemID="{07D4E7E3-39FB-4F8B-B6E9-496FD21947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04beef-6714-4461-bb03-a5c46a41fd01"/>
    <ds:schemaRef ds:uri="8500078c-d3eb-436f-b287-c570e1e30e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2B5550-31B1-4FF0-BD14-3758CDFB30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JULHO</vt:lpstr>
      <vt:lpstr>Gráfico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Fonseca Alves</dc:creator>
  <cp:keywords/>
  <dc:description/>
  <cp:lastModifiedBy>Oseias Melo</cp:lastModifiedBy>
  <cp:revision/>
  <dcterms:created xsi:type="dcterms:W3CDTF">2025-08-01T17:12:09Z</dcterms:created>
  <dcterms:modified xsi:type="dcterms:W3CDTF">2026-09-02T18:16:57Z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0x0101003DE4CB2CF3C90548A588F5FBF4FA9CF0</vt:lpwstr>
  </property>
  <property fmtid="{D5CDD505-2E9C-101B-9397-08002B2CF9AE}" pid="3" name="MediaServiceImageTags">
    <vt:lpwstr/>
  </property>
</Properties>
</file>