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Thales Silva\Downloads\"/>
    </mc:Choice>
  </mc:AlternateContent>
  <xr:revisionPtr revIDLastSave="1096" documentId="13_ncr:1_{BC9CE552-50D8-4C49-9DA1-A5AD41DEFBB7}" xr6:coauthVersionLast="47" xr6:coauthVersionMax="47" xr10:uidLastSave="{BD767451-BD54-41F6-A9AD-9CC9B901B84A}"/>
  <bookViews>
    <workbookView xWindow="-120" yWindow="-120" windowWidth="20730" windowHeight="11040" xr2:uid="{00000000-000D-0000-FFFF-FFFF00000000}"/>
  </bookViews>
  <sheets>
    <sheet name="JULHO" sheetId="8" r:id="rId1"/>
    <sheet name="Gráfico" sheetId="9" r:id="rId2"/>
  </sheets>
  <definedNames>
    <definedName name="_xlnm._FilterDatabase" localSheetId="0" hidden="1">JULHO!$A$5:$I$90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8" l="1"/>
  <c r="I10" i="8"/>
  <c r="I58" i="8"/>
  <c r="I7" i="8"/>
  <c r="I8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6" i="8"/>
  <c r="D90" i="8" l="1"/>
  <c r="C4" i="9" s="1"/>
  <c r="C90" i="8"/>
  <c r="C3" i="9" s="1"/>
  <c r="C2" i="9" l="1"/>
  <c r="D3" i="9" s="1"/>
  <c r="D4" i="9" l="1"/>
</calcChain>
</file>

<file path=xl/sharedStrings.xml><?xml version="1.0" encoding="utf-8"?>
<sst xmlns="http://schemas.openxmlformats.org/spreadsheetml/2006/main" count="328" uniqueCount="116">
  <si>
    <t>AFERIÇÃO DO TESTE DE AVALIAÇÃO FISICA (TAF) - JULHO</t>
  </si>
  <si>
    <t>TAF</t>
  </si>
  <si>
    <t>NOME</t>
  </si>
  <si>
    <t>EQUIPE</t>
  </si>
  <si>
    <t>FUNÇÃO</t>
  </si>
  <si>
    <t>IDADE</t>
  </si>
  <si>
    <t>Flexão Solo</t>
  </si>
  <si>
    <t>Abdominal</t>
  </si>
  <si>
    <t>POLICHINELO</t>
  </si>
  <si>
    <t>TEMPO</t>
  </si>
  <si>
    <t>Resultado</t>
  </si>
  <si>
    <t>BRUNO DOS SANTOS LEAL BLAS</t>
  </si>
  <si>
    <t>ALFA</t>
  </si>
  <si>
    <t>BA-LR</t>
  </si>
  <si>
    <t>RAFAEL RIBEIRO DE SIQUEIRA</t>
  </si>
  <si>
    <t>BA-MC</t>
  </si>
  <si>
    <t>CARLOS ALBERTO BARBOSA DA SILVA</t>
  </si>
  <si>
    <t>ALESSANDRO CARDOSO DE OLIVEIRA</t>
  </si>
  <si>
    <t>BA2</t>
  </si>
  <si>
    <t>JAMERSON UBIRACY DE ARAÚJO</t>
  </si>
  <si>
    <t>ALESSANDRO DA SILVA TEIXEIRA</t>
  </si>
  <si>
    <t>LUAN ALVES DOS SANTOS</t>
  </si>
  <si>
    <t>RODRIGO FERNANDES JUCÁ E SILVA</t>
  </si>
  <si>
    <t>MICHELL SOARES DA CONCEIÇÃO</t>
  </si>
  <si>
    <t>YURE MALLET FONSECA</t>
  </si>
  <si>
    <t>DOUGLAS TEIXEIRA ALVES</t>
  </si>
  <si>
    <t>HENRIQUE DE PINNA GOMES BRITTO</t>
  </si>
  <si>
    <t>FÁBIO JÚNIOR DOS SANTOS BARCELOS</t>
  </si>
  <si>
    <t>LUIZ FERNANDO VIEIRA PEREIRA SILVA</t>
  </si>
  <si>
    <t>FERIAS</t>
  </si>
  <si>
    <t>PAULO ROBERTO FERNANDES</t>
  </si>
  <si>
    <t>GESSILDO DA SILVA SOARES</t>
  </si>
  <si>
    <t>GERSON DA SILVA FERREIRA</t>
  </si>
  <si>
    <t>MAICON DOUGLAS FELIX ROCHA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</si>
  <si>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</si>
  <si>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</si>
  <si>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</si>
  <si>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</si>
  <si>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</si>
  <si>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</si>
  <si>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30 </t>
  </si>
  <si>
    <t>45 </t>
  </si>
  <si>
    <t>ALBERT FERREIRA DA SILVA XARIFA</t>
  </si>
  <si>
    <t>ELIOMAR AGOSTINHO DA SILVA</t>
  </si>
  <si>
    <t>FABIO JUNIOR SANTOS BARCELLOS</t>
  </si>
  <si>
    <t>TROCA</t>
  </si>
  <si>
    <t>FERNANDO BATISTA DO NASCIMENTO</t>
  </si>
  <si>
    <t>BA MC</t>
  </si>
  <si>
    <t>KASSIO VIEIRA DE SENNA ALMEIDA</t>
  </si>
  <si>
    <t>FOLGA</t>
  </si>
  <si>
    <t>LEANDRO RODRIGUES DA SILVA</t>
  </si>
  <si>
    <t>BA MA</t>
  </si>
  <si>
    <t>LEANDRO MENDES BARBOSA</t>
  </si>
  <si>
    <t>MARCELO LEANDRO DE OLIVEIRA COUTINHO</t>
  </si>
  <si>
    <t>MARCOS VINICIUS SANTOS FIDELIS</t>
  </si>
  <si>
    <t>MARCUS VINICIUS ANDRADE DE AVILA</t>
  </si>
  <si>
    <t>MAURÍCIO DE SOUZA OLIVEIRA</t>
  </si>
  <si>
    <t>BA RE</t>
  </si>
  <si>
    <t>MURILO PEREIRA DE ASSIS</t>
  </si>
  <si>
    <t>PAULO RICARDO RIBEIRO KHATE E BRITO</t>
  </si>
  <si>
    <t>RAFAEL LUIZ DE ALMEIDA SOUZA</t>
  </si>
  <si>
    <t>BA LR</t>
  </si>
  <si>
    <t>RAMON SIEIA MEDEIROS</t>
  </si>
  <si>
    <t>BA CE</t>
  </si>
  <si>
    <t>RENATO MELO DE LIMA</t>
  </si>
  <si>
    <t>ATESTADO</t>
  </si>
  <si>
    <t xml:space="preserve">SANDRO RAMOS PRADO </t>
  </si>
  <si>
    <t>TARICK SEIXAS</t>
  </si>
  <si>
    <t>THIAGO DA SILVA SOUZA</t>
  </si>
  <si>
    <t>YAGO ARINO DA ROCHA</t>
  </si>
  <si>
    <t>WENDEL DE OLIVEIRA SOARES</t>
  </si>
  <si>
    <t>CHARLIE</t>
  </si>
  <si>
    <t>MARCELO BARBOSA DE SOUZA</t>
  </si>
  <si>
    <t>LEANDRO DA ROCHA SANT’ANNA</t>
  </si>
  <si>
    <t>FABIO DE SOUZA FONSECA</t>
  </si>
  <si>
    <t>RICARDO GOMES MARINHO</t>
  </si>
  <si>
    <t>HÉLIO ISMERIM DOS SANTOS</t>
  </si>
  <si>
    <t>VAGNER DE OLIVEIRA REZENDE</t>
  </si>
  <si>
    <t>THALES DIEGO SOARES FERREIRA</t>
  </si>
  <si>
    <t>ROGÉRIO CERVO MOTTA</t>
  </si>
  <si>
    <t>NIELSON DE SOUZA OLIVEIRA</t>
  </si>
  <si>
    <t xml:space="preserve">FLÁVIO EMANOEL SANTOS DE OLIVEIRA </t>
  </si>
  <si>
    <t>SAMUEL GALDINO DE BARCELOS</t>
  </si>
  <si>
    <t>VINÍCIUS DOS SANTOS PIRES</t>
  </si>
  <si>
    <t>IGOR DA SILVA DO AMARAL</t>
  </si>
  <si>
    <t>SALATIEL DOS SANTOS LUIZ GOULART</t>
  </si>
  <si>
    <t>ÁTILA DE FRETAS NETO</t>
  </si>
  <si>
    <t>MARCELO DOMINGOS CARUNCHO</t>
  </si>
  <si>
    <t>PAULO ROGÉRIO MARQUES MEDEIROS</t>
  </si>
  <si>
    <t>LEANDRO RICARDO LIMA DE OLIVEIRA</t>
  </si>
  <si>
    <t>DANIEL NATAN SIEIA ROCHA</t>
  </si>
  <si>
    <t>BRUNO DA SILVA SANTOS</t>
  </si>
  <si>
    <t>DELTA</t>
  </si>
  <si>
    <t>DOUGLAS ARAÚJO DOS SANTOS</t>
  </si>
  <si>
    <t>JOSÉ LUIZ MACHADO PINHEIRO</t>
  </si>
  <si>
    <t>ANDRE JORGE DOS SANTOS</t>
  </si>
  <si>
    <t>EDSON COELHO DAVID</t>
  </si>
  <si>
    <t>KLEBER SANTOS DE OLIVEIRA</t>
  </si>
  <si>
    <t>LANDRO RODRIGO SILVEIRA ROSA</t>
  </si>
  <si>
    <t>LUCAS DIAS DE FARIAS</t>
  </si>
  <si>
    <t>MARCUS PAULO DA LUZ OLIVEIRA DA SILVEIRA</t>
  </si>
  <si>
    <t>DEIVID LOPES</t>
  </si>
  <si>
    <t>RODRIGO OLIVEIRA ALVES</t>
  </si>
  <si>
    <t>MAYKE SAETTA CORREIA MEDEIROS LIMA</t>
  </si>
  <si>
    <t>ROGER PEREIRA DA SILVA BARBOSA OZÓRIO</t>
  </si>
  <si>
    <t>ANDRE MIGUEL MEIRA SILVA</t>
  </si>
  <si>
    <t>SERGIO LUIZ DOS SANTOS JUNIOR</t>
  </si>
  <si>
    <t>THIAGO CRUZ LEITE</t>
  </si>
  <si>
    <t>ADRIANO NASSAR VALENÇA</t>
  </si>
  <si>
    <t>LUIZ FELIPE SOBRAL DO NASCIMENTO</t>
  </si>
  <si>
    <t>WESLEY DE CARVALHO CORREA</t>
  </si>
  <si>
    <t>ROBERT DOS SANTOS CUNHA</t>
  </si>
  <si>
    <t>Satisfatório</t>
  </si>
  <si>
    <t>Insatisfatório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</si>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</sst>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</font>
    <font>
      <sz val="10"/>
      <name val="Calibri"/>
      <charset val="1"/>
    </font>
    <font>
      <sz val="10"/>
      <color theme="1"/>
      <name val="Calibri"/>
      <family val="2"/>
      <charset val="1"/>
    </font>
    <font>
      <sz val="10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5" fillId="4" borderId="4" xfId="1" applyFont="1" applyFill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4" fillId="0" borderId="5" xfId="0" applyFont="1" applyBorder="1" applyAlignment="1">
      <alignment horizontal="center" vertical="center" wrapText="1" readingOrder="1"/>
    </xf>
    <xf numFmtId="0" fontId="14" fillId="0" borderId="6" xfId="0" applyFont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 wrapText="1"/>
    </xf>
    <xf numFmtId="21" fontId="14" fillId="0" borderId="7" xfId="0" applyNumberFormat="1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wrapText="1"/>
    </xf>
    <xf numFmtId="0" fontId="16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 readingOrder="1"/>
    </xf>
    <xf numFmtId="0" fontId="4" fillId="0" borderId="8" xfId="1" applyFont="1" applyBorder="1" applyAlignment="1">
      <alignment horizontal="left" vertical="center"/>
    </xf>
    <xf numFmtId="0" fontId="5" fillId="4" borderId="8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4" fillId="0" borderId="9" xfId="1" applyFont="1" applyBorder="1" applyAlignment="1">
      <alignment horizontal="left" vertical="center"/>
    </xf>
    <xf numFmtId="0" fontId="5" fillId="4" borderId="9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21" fontId="14" fillId="0" borderId="10" xfId="0" applyNumberFormat="1" applyFont="1" applyBorder="1" applyAlignment="1">
      <alignment horizontal="center" vertical="center" wrapText="1" readingOrder="1"/>
    </xf>
    <xf numFmtId="0" fontId="12" fillId="3" borderId="9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Junho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0.8441558441558441</c:v>
                </c:pt>
                <c:pt idx="1">
                  <c:v>0.15584415584415584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1</xdr:col>
      <xdr:colOff>123825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52387</xdr:rowOff>
    </xdr:from>
    <xdr:to>
      <xdr:col>7</xdr:col>
      <xdr:colOff>38100</xdr:colOff>
      <xdr:row>18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3"/>
  <sheetViews>
    <sheetView tabSelected="1" topLeftCell="A77" zoomScale="70" zoomScaleNormal="70" workbookViewId="0">
      <selection activeCell="F80" sqref="F80"/>
    </sheetView>
  </sheetViews>
  <sheetFormatPr defaultColWidth="9.140625" defaultRowHeight="15"/>
  <cols>
    <col min="1" max="1" width="32.7109375" style="21" customWidth="1"/>
    <col min="2" max="2" width="12.140625" style="14" bestFit="1" customWidth="1"/>
    <col min="3" max="3" width="12.28515625" style="14" bestFit="1" customWidth="1"/>
    <col min="4" max="4" width="14" style="14" customWidth="1"/>
    <col min="5" max="5" width="14.28515625" style="14" bestFit="1" customWidth="1"/>
    <col min="6" max="6" width="14" style="14" bestFit="1" customWidth="1"/>
    <col min="7" max="7" width="13.42578125" style="14" bestFit="1" customWidth="1"/>
    <col min="8" max="8" width="14.5703125" style="14" bestFit="1" customWidth="1"/>
    <col min="9" max="9" width="36.5703125" style="14" bestFit="1" customWidth="1"/>
    <col min="10" max="16384" width="9.140625" style="14"/>
  </cols>
  <sheetData>
    <row r="1" spans="1:29" ht="1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2"/>
    </row>
    <row r="2" spans="1:29" ht="15" customHeight="1">
      <c r="A2" s="35"/>
      <c r="B2" s="36"/>
      <c r="C2" s="36"/>
      <c r="D2" s="36"/>
      <c r="E2" s="36"/>
      <c r="F2" s="36"/>
      <c r="G2" s="36"/>
      <c r="H2" s="36"/>
      <c r="I2" s="3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2"/>
    </row>
    <row r="3" spans="1:29" ht="15" customHeight="1">
      <c r="A3" s="35"/>
      <c r="B3" s="36"/>
      <c r="C3" s="36"/>
      <c r="D3" s="36"/>
      <c r="E3" s="36"/>
      <c r="F3" s="36"/>
      <c r="G3" s="36"/>
      <c r="H3" s="36"/>
      <c r="I3" s="36"/>
      <c r="J3" s="4"/>
      <c r="K3" s="37"/>
      <c r="L3" s="37"/>
      <c r="M3" s="37"/>
      <c r="N3" s="37"/>
      <c r="O3" s="12"/>
      <c r="P3" s="12"/>
      <c r="Q3" s="12"/>
      <c r="R3" s="37"/>
      <c r="S3" s="37"/>
      <c r="T3" s="37"/>
      <c r="U3" s="37"/>
      <c r="V3" s="12"/>
      <c r="W3" s="12"/>
      <c r="X3" s="12"/>
      <c r="Y3" s="37"/>
      <c r="Z3" s="37"/>
      <c r="AA3" s="37"/>
      <c r="AB3" s="37"/>
      <c r="AC3" s="12"/>
    </row>
    <row r="4" spans="1:29" ht="15" customHeight="1">
      <c r="A4" s="35"/>
      <c r="B4" s="36"/>
      <c r="C4" s="36"/>
      <c r="D4" s="36"/>
      <c r="E4" s="36"/>
      <c r="F4" s="36"/>
      <c r="G4" s="36"/>
      <c r="H4" s="36"/>
      <c r="I4" s="36"/>
      <c r="J4" s="4"/>
      <c r="K4" s="38"/>
      <c r="L4" s="38"/>
      <c r="M4" s="38"/>
      <c r="N4" s="38"/>
      <c r="O4" s="4"/>
      <c r="P4" s="5"/>
      <c r="Q4" s="5"/>
      <c r="R4" s="38"/>
      <c r="S4" s="38"/>
      <c r="T4" s="38"/>
      <c r="U4" s="38"/>
      <c r="V4" s="4"/>
      <c r="W4" s="5"/>
      <c r="X4" s="5"/>
      <c r="Y4" s="38" t="s">
        <v>1</v>
      </c>
      <c r="Z4" s="38"/>
      <c r="AA4" s="38"/>
      <c r="AB4" s="38"/>
      <c r="AC4" s="12"/>
    </row>
    <row r="5" spans="1:29">
      <c r="A5" s="7" t="s">
        <v>2</v>
      </c>
      <c r="B5" s="6" t="s">
        <v>3</v>
      </c>
      <c r="C5" s="15" t="s">
        <v>4</v>
      </c>
      <c r="D5" s="15" t="s">
        <v>5</v>
      </c>
      <c r="E5" s="16" t="s">
        <v>6</v>
      </c>
      <c r="F5" s="16" t="s">
        <v>7</v>
      </c>
      <c r="G5" s="16" t="s">
        <v>8</v>
      </c>
      <c r="H5" s="16" t="s">
        <v>9</v>
      </c>
      <c r="I5" s="16" t="s">
        <v>10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>
      <c r="A6" s="28" t="s">
        <v>11</v>
      </c>
      <c r="B6" s="17" t="s">
        <v>12</v>
      </c>
      <c r="C6" s="2" t="s">
        <v>13</v>
      </c>
      <c r="D6" s="1">
        <v>35</v>
      </c>
      <c r="E6" s="8">
        <v>30</v>
      </c>
      <c r="F6" s="8">
        <v>45</v>
      </c>
      <c r="G6" s="8">
        <v>45</v>
      </c>
      <c r="H6" s="9">
        <v>1.3541666666666667E-3</v>
      </c>
      <c r="I6" s="31" t="str">
        <f t="shared" ref="I6:I69" si="0">IF(AND(E6&gt;=30, F6&gt;=45, G6&gt;=45, H6&gt;0, IF(D6&lt;=40, H6&lt;=TIME(0,3,0), H6&lt;=TIME(0,4,0))), "SATISFATÓRIO", "INSATISFATÓRIO")</f>
        <v>SATISFATÓRIO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spans="1:29">
      <c r="A7" s="28" t="s">
        <v>14</v>
      </c>
      <c r="B7" s="17" t="s">
        <v>12</v>
      </c>
      <c r="C7" s="2" t="s">
        <v>15</v>
      </c>
      <c r="D7" s="2">
        <v>35</v>
      </c>
      <c r="E7" s="8">
        <v>30</v>
      </c>
      <c r="F7" s="8">
        <v>45</v>
      </c>
      <c r="G7" s="8">
        <v>45</v>
      </c>
      <c r="H7" s="9">
        <v>1.8171296296296297E-3</v>
      </c>
      <c r="I7" s="31" t="str">
        <f t="shared" si="0"/>
        <v>SATISFATÓRIO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28" t="s">
        <v>16</v>
      </c>
      <c r="B8" s="17" t="s">
        <v>12</v>
      </c>
      <c r="C8" s="2" t="s">
        <v>15</v>
      </c>
      <c r="D8" s="2">
        <v>42</v>
      </c>
      <c r="E8" s="8">
        <v>30</v>
      </c>
      <c r="F8" s="8">
        <v>45</v>
      </c>
      <c r="G8" s="8">
        <v>45</v>
      </c>
      <c r="H8" s="9">
        <v>1.6087962962962963E-3</v>
      </c>
      <c r="I8" s="31" t="str">
        <f t="shared" si="0"/>
        <v>SATISFATÓRIO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28" t="s">
        <v>17</v>
      </c>
      <c r="B9" s="17" t="s">
        <v>12</v>
      </c>
      <c r="C9" s="2" t="s">
        <v>18</v>
      </c>
      <c r="D9" s="2">
        <v>51</v>
      </c>
      <c r="E9" s="8">
        <v>20</v>
      </c>
      <c r="F9" s="8">
        <v>30</v>
      </c>
      <c r="G9" s="8">
        <v>30</v>
      </c>
      <c r="H9" s="9">
        <v>1.3541666666666667E-3</v>
      </c>
      <c r="I9" s="31" t="str">
        <f t="shared" si="0"/>
        <v>INSATISFATÓRIO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28" t="s">
        <v>19</v>
      </c>
      <c r="B10" s="17" t="s">
        <v>12</v>
      </c>
      <c r="C10" s="2" t="s">
        <v>18</v>
      </c>
      <c r="D10" s="2">
        <v>50</v>
      </c>
      <c r="E10" s="8">
        <v>30</v>
      </c>
      <c r="F10" s="8">
        <v>45</v>
      </c>
      <c r="G10" s="8">
        <v>45</v>
      </c>
      <c r="H10" s="9">
        <v>1.5856481481481481E-3</v>
      </c>
      <c r="I10" s="31" t="str">
        <f t="shared" si="0"/>
        <v>SATISFATÓRIO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28" t="s">
        <v>20</v>
      </c>
      <c r="B11" s="17" t="s">
        <v>12</v>
      </c>
      <c r="C11" s="2" t="s">
        <v>18</v>
      </c>
      <c r="D11" s="2">
        <v>45</v>
      </c>
      <c r="E11" s="8">
        <v>30</v>
      </c>
      <c r="F11" s="8">
        <v>45</v>
      </c>
      <c r="G11" s="8">
        <v>45</v>
      </c>
      <c r="H11" s="9">
        <v>1.7708333333333332E-3</v>
      </c>
      <c r="I11" s="31" t="str">
        <f t="shared" si="0"/>
        <v>SATISFATÓRIO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28" t="s">
        <v>21</v>
      </c>
      <c r="B12" s="17" t="s">
        <v>12</v>
      </c>
      <c r="C12" s="2" t="s">
        <v>18</v>
      </c>
      <c r="D12" s="2">
        <v>31</v>
      </c>
      <c r="E12" s="8">
        <v>30</v>
      </c>
      <c r="F12" s="8">
        <v>45</v>
      </c>
      <c r="G12" s="8">
        <v>45</v>
      </c>
      <c r="H12" s="9">
        <v>1.6203703703703703E-3</v>
      </c>
      <c r="I12" s="31" t="str">
        <f t="shared" si="0"/>
        <v>SATISFATÓRIO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28" t="s">
        <v>22</v>
      </c>
      <c r="B13" s="17" t="s">
        <v>12</v>
      </c>
      <c r="C13" s="2" t="s">
        <v>15</v>
      </c>
      <c r="D13" s="2">
        <v>46</v>
      </c>
      <c r="E13" s="8">
        <v>30</v>
      </c>
      <c r="F13" s="8">
        <v>45</v>
      </c>
      <c r="G13" s="8">
        <v>45</v>
      </c>
      <c r="H13" s="9">
        <v>1.5625000000000001E-3</v>
      </c>
      <c r="I13" s="31" t="str">
        <f t="shared" si="0"/>
        <v>SATISFATÓRIO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28" t="s">
        <v>23</v>
      </c>
      <c r="B14" s="17" t="s">
        <v>12</v>
      </c>
      <c r="C14" s="2" t="s">
        <v>15</v>
      </c>
      <c r="D14" s="2">
        <v>35</v>
      </c>
      <c r="E14" s="8">
        <v>30</v>
      </c>
      <c r="F14" s="8">
        <v>45</v>
      </c>
      <c r="G14" s="8">
        <v>45</v>
      </c>
      <c r="H14" s="9">
        <v>1.4236111111111112E-3</v>
      </c>
      <c r="I14" s="31" t="str">
        <f t="shared" si="0"/>
        <v>SATISFATÓRIO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28" t="s">
        <v>24</v>
      </c>
      <c r="B15" s="17" t="s">
        <v>12</v>
      </c>
      <c r="C15" s="2" t="s">
        <v>18</v>
      </c>
      <c r="D15" s="2">
        <v>30</v>
      </c>
      <c r="E15" s="8">
        <v>30</v>
      </c>
      <c r="F15" s="8">
        <v>45</v>
      </c>
      <c r="G15" s="8">
        <v>45</v>
      </c>
      <c r="H15" s="9">
        <v>1.6435185185185185E-3</v>
      </c>
      <c r="I15" s="31" t="str">
        <f t="shared" si="0"/>
        <v>SATISFATÓRIO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28" t="s">
        <v>25</v>
      </c>
      <c r="B16" s="17" t="s">
        <v>12</v>
      </c>
      <c r="C16" s="2" t="s">
        <v>18</v>
      </c>
      <c r="D16" s="2">
        <v>36</v>
      </c>
      <c r="E16" s="8">
        <v>21</v>
      </c>
      <c r="F16" s="8">
        <v>40</v>
      </c>
      <c r="G16" s="8">
        <v>45</v>
      </c>
      <c r="H16" s="9">
        <v>2.0833333333333333E-3</v>
      </c>
      <c r="I16" s="31" t="str">
        <f t="shared" si="0"/>
        <v>INSATISFATÓRIO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28" t="s">
        <v>26</v>
      </c>
      <c r="B17" s="17" t="s">
        <v>12</v>
      </c>
      <c r="C17" s="2" t="s">
        <v>18</v>
      </c>
      <c r="D17" s="2">
        <v>33</v>
      </c>
      <c r="E17" s="8">
        <v>30</v>
      </c>
      <c r="F17" s="8">
        <v>45</v>
      </c>
      <c r="G17" s="8">
        <v>45</v>
      </c>
      <c r="H17" s="9">
        <v>1.5162037037037036E-3</v>
      </c>
      <c r="I17" s="31" t="str">
        <f t="shared" si="0"/>
        <v>SATISFATÓRIO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28" t="s">
        <v>27</v>
      </c>
      <c r="B18" s="17" t="s">
        <v>12</v>
      </c>
      <c r="C18" s="2" t="s">
        <v>18</v>
      </c>
      <c r="D18" s="2">
        <v>45</v>
      </c>
      <c r="E18" s="8">
        <v>30</v>
      </c>
      <c r="F18" s="8">
        <v>45</v>
      </c>
      <c r="G18" s="8">
        <v>45</v>
      </c>
      <c r="H18" s="9">
        <v>1.9328703703703704E-3</v>
      </c>
      <c r="I18" s="31" t="str">
        <f t="shared" si="0"/>
        <v>SATISFATÓRIO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28" t="s">
        <v>28</v>
      </c>
      <c r="B19" s="17" t="s">
        <v>12</v>
      </c>
      <c r="C19" s="2" t="s">
        <v>18</v>
      </c>
      <c r="D19" s="2">
        <v>35</v>
      </c>
      <c r="E19" s="10" t="s">
        <v>29</v>
      </c>
      <c r="F19" s="10" t="s">
        <v>29</v>
      </c>
      <c r="G19" s="10" t="s">
        <v>29</v>
      </c>
      <c r="H19" s="10" t="s">
        <v>29</v>
      </c>
      <c r="I19" s="31" t="str">
        <f t="shared" si="0"/>
        <v>INSATISFATÓRIO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28" t="s">
        <v>30</v>
      </c>
      <c r="B20" s="17" t="s">
        <v>12</v>
      </c>
      <c r="C20" s="2" t="s">
        <v>15</v>
      </c>
      <c r="D20" s="2">
        <v>55</v>
      </c>
      <c r="E20" s="8">
        <v>20</v>
      </c>
      <c r="F20" s="8">
        <v>30</v>
      </c>
      <c r="G20" s="8">
        <v>30</v>
      </c>
      <c r="H20" s="9">
        <v>1.3310185185185185E-3</v>
      </c>
      <c r="I20" s="31" t="str">
        <f t="shared" si="0"/>
        <v>INSATISFATÓRIO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28" t="s">
        <v>31</v>
      </c>
      <c r="B21" s="17" t="s">
        <v>12</v>
      </c>
      <c r="C21" s="2" t="s">
        <v>15</v>
      </c>
      <c r="D21" s="2">
        <v>33</v>
      </c>
      <c r="E21" s="8">
        <v>30</v>
      </c>
      <c r="F21" s="8">
        <v>45</v>
      </c>
      <c r="G21" s="8">
        <v>45</v>
      </c>
      <c r="H21" s="9">
        <v>1.5625000000000001E-3</v>
      </c>
      <c r="I21" s="31" t="str">
        <f t="shared" si="0"/>
        <v>SATISFATÓRIO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28" t="s">
        <v>32</v>
      </c>
      <c r="B22" s="17" t="s">
        <v>12</v>
      </c>
      <c r="C22" s="2" t="s">
        <v>18</v>
      </c>
      <c r="D22" s="2">
        <v>35</v>
      </c>
      <c r="E22" s="8">
        <v>30</v>
      </c>
      <c r="F22" s="8">
        <v>45</v>
      </c>
      <c r="G22" s="8">
        <v>45</v>
      </c>
      <c r="H22" s="9">
        <v>1.7708333333333332E-3</v>
      </c>
      <c r="I22" s="31" t="str">
        <f t="shared" si="0"/>
        <v>SATISFATÓRIO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>
      <c r="A23" s="28" t="s">
        <v>33</v>
      </c>
      <c r="B23" s="17" t="s">
        <v>12</v>
      </c>
      <c r="C23" s="2" t="s">
        <v>18</v>
      </c>
      <c r="D23" s="2">
        <v>27</v>
      </c>
      <c r="E23" s="8">
        <v>30</v>
      </c>
      <c r="F23" s="8">
        <v>45</v>
      </c>
      <c r="G23" s="8">
        <v>45</v>
      </c>
      <c r="H23" s="9">
        <v>1.6782407407407408E-3</v>
      </c>
      <c r="I23" s="31" t="str">
        <f t="shared" si="0"/>
        <v>SATISFATÓRIO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>
      <c r="A24" s="28" t="s">
        <v>34</v>
      </c>
      <c r="B24" s="17" t="s">
        <v>12</v>
      </c>
      <c r="C24" s="2" t="s">
        <v>18</v>
      </c>
      <c r="D24" s="1">
        <v>35</v>
      </c>
      <c r="E24" s="8">
        <v>30</v>
      </c>
      <c r="F24" s="8">
        <v>45</v>
      </c>
      <c r="G24" s="8">
        <v>45</v>
      </c>
      <c r="H24" s="9">
        <v>1.6666666666666668E-3</v>
      </c>
      <c r="I24" s="31" t="str">
        <f t="shared" si="0"/>
        <v>SATISFATÓRIO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28" t="s">
        <v>35</v>
      </c>
      <c r="B25" s="17" t="s">
        <v>12</v>
      </c>
      <c r="C25" s="2" t="s">
        <v>18</v>
      </c>
      <c r="D25" s="2">
        <v>23</v>
      </c>
      <c r="E25" s="8">
        <v>30</v>
      </c>
      <c r="F25" s="8">
        <v>45</v>
      </c>
      <c r="G25" s="8">
        <v>45</v>
      </c>
      <c r="H25" s="9">
        <v>1.3078703703703703E-3</v>
      </c>
      <c r="I25" s="31" t="str">
        <f t="shared" si="0"/>
        <v>SATISFATÓRIO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>
      <c r="A26" s="28" t="s">
        <v>36</v>
      </c>
      <c r="B26" s="17" t="s">
        <v>12</v>
      </c>
      <c r="C26" s="2" t="s">
        <v>37</v>
      </c>
      <c r="D26" s="2">
        <v>38</v>
      </c>
      <c r="E26" s="8">
        <v>30</v>
      </c>
      <c r="F26" s="8">
        <v>45</v>
      </c>
      <c r="G26" s="8">
        <v>45</v>
      </c>
      <c r="H26" s="9">
        <v>1.5046296296296296E-3</v>
      </c>
      <c r="I26" s="31" t="str">
        <f t="shared" si="0"/>
        <v>SATISFATÓRIO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>
      <c r="A27" s="25" t="s">
        <v>38</v>
      </c>
      <c r="B27" s="17" t="s">
        <v>39</v>
      </c>
      <c r="C27" s="2" t="s">
        <v>18</v>
      </c>
      <c r="D27" s="2">
        <v>40</v>
      </c>
      <c r="E27" s="29" t="s">
        <v>40</v>
      </c>
      <c r="F27" s="30" t="s">
        <v>41</v>
      </c>
      <c r="G27" s="30">
        <v>45</v>
      </c>
      <c r="H27" s="32">
        <v>1.5740740740740741E-3</v>
      </c>
      <c r="I27" s="31" t="str">
        <f t="shared" si="0"/>
        <v>SATISFATÓRIO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>
      <c r="A28" s="25" t="s">
        <v>42</v>
      </c>
      <c r="B28" s="17" t="s">
        <v>39</v>
      </c>
      <c r="C28" s="2" t="s">
        <v>18</v>
      </c>
      <c r="D28" s="2">
        <v>33</v>
      </c>
      <c r="E28" s="29" t="s">
        <v>40</v>
      </c>
      <c r="F28" s="30" t="s">
        <v>41</v>
      </c>
      <c r="G28" s="30">
        <v>45</v>
      </c>
      <c r="H28" s="32">
        <v>1.2731481481481483E-3</v>
      </c>
      <c r="I28" s="31" t="str">
        <f t="shared" si="0"/>
        <v>SATISFATÓRIO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>
      <c r="A29" s="25" t="s">
        <v>43</v>
      </c>
      <c r="B29" s="17" t="s">
        <v>39</v>
      </c>
      <c r="C29" s="2" t="s">
        <v>18</v>
      </c>
      <c r="D29" s="2">
        <v>51</v>
      </c>
      <c r="E29" s="29" t="s">
        <v>40</v>
      </c>
      <c r="F29" s="30" t="s">
        <v>41</v>
      </c>
      <c r="G29" s="30">
        <v>45</v>
      </c>
      <c r="H29" s="32">
        <v>1.9675925925925924E-3</v>
      </c>
      <c r="I29" s="31" t="str">
        <f t="shared" si="0"/>
        <v>SATISFATÓRIO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>
      <c r="A30" s="25" t="s">
        <v>44</v>
      </c>
      <c r="B30" s="17" t="s">
        <v>39</v>
      </c>
      <c r="C30" s="2" t="s">
        <v>18</v>
      </c>
      <c r="D30" s="2">
        <v>45</v>
      </c>
      <c r="E30" s="39" t="s">
        <v>45</v>
      </c>
      <c r="F30" s="39" t="s">
        <v>45</v>
      </c>
      <c r="G30" s="39" t="s">
        <v>45</v>
      </c>
      <c r="H30" s="39" t="s">
        <v>45</v>
      </c>
      <c r="I30" s="31" t="str">
        <f t="shared" si="0"/>
        <v>INSATISFATÓRIO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>
      <c r="A31" s="25" t="s">
        <v>46</v>
      </c>
      <c r="B31" s="17" t="s">
        <v>39</v>
      </c>
      <c r="C31" s="2" t="s">
        <v>47</v>
      </c>
      <c r="D31" s="2">
        <v>36</v>
      </c>
      <c r="E31" s="29" t="s">
        <v>40</v>
      </c>
      <c r="F31" s="30" t="s">
        <v>41</v>
      </c>
      <c r="G31" s="30">
        <v>45</v>
      </c>
      <c r="H31" s="32">
        <v>1.5625000000000001E-3</v>
      </c>
      <c r="I31" s="31" t="str">
        <f t="shared" si="0"/>
        <v>SATISFATÓRIO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>
      <c r="A32" s="25" t="s">
        <v>48</v>
      </c>
      <c r="B32" s="17" t="s">
        <v>39</v>
      </c>
      <c r="C32" s="2" t="s">
        <v>18</v>
      </c>
      <c r="D32" s="2">
        <v>36</v>
      </c>
      <c r="E32" s="39" t="s">
        <v>49</v>
      </c>
      <c r="F32" s="39" t="s">
        <v>49</v>
      </c>
      <c r="G32" s="39" t="s">
        <v>49</v>
      </c>
      <c r="H32" s="39" t="s">
        <v>49</v>
      </c>
      <c r="I32" s="31" t="str">
        <f t="shared" si="0"/>
        <v>INSATISFATÓRIO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>
      <c r="A33" s="25" t="s">
        <v>50</v>
      </c>
      <c r="B33" s="17" t="s">
        <v>39</v>
      </c>
      <c r="C33" s="2" t="s">
        <v>51</v>
      </c>
      <c r="D33" s="2">
        <v>40</v>
      </c>
      <c r="E33" s="39" t="s">
        <v>45</v>
      </c>
      <c r="F33" s="39" t="s">
        <v>45</v>
      </c>
      <c r="G33" s="39" t="s">
        <v>45</v>
      </c>
      <c r="H33" s="39" t="s">
        <v>45</v>
      </c>
      <c r="I33" s="31" t="str">
        <f t="shared" si="0"/>
        <v>INSATISFATÓRIO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>
      <c r="A34" s="25" t="s">
        <v>52</v>
      </c>
      <c r="B34" s="17" t="s">
        <v>39</v>
      </c>
      <c r="C34" s="2" t="s">
        <v>18</v>
      </c>
      <c r="D34" s="2">
        <v>40</v>
      </c>
      <c r="E34" s="29" t="s">
        <v>40</v>
      </c>
      <c r="F34" s="30" t="s">
        <v>41</v>
      </c>
      <c r="G34" s="30">
        <v>45</v>
      </c>
      <c r="H34" s="32">
        <v>2.0833333333333333E-3</v>
      </c>
      <c r="I34" s="31" t="str">
        <f t="shared" si="0"/>
        <v>SATISFATÓRIO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>
      <c r="A35" s="25" t="s">
        <v>53</v>
      </c>
      <c r="B35" s="17" t="s">
        <v>39</v>
      </c>
      <c r="C35" s="2" t="s">
        <v>18</v>
      </c>
      <c r="D35" s="2">
        <v>38</v>
      </c>
      <c r="E35" s="39" t="s">
        <v>29</v>
      </c>
      <c r="F35" s="39" t="s">
        <v>29</v>
      </c>
      <c r="G35" s="39" t="s">
        <v>29</v>
      </c>
      <c r="H35" s="39" t="s">
        <v>29</v>
      </c>
      <c r="I35" s="31" t="str">
        <f t="shared" si="0"/>
        <v>INSATISFATÓRIO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>
      <c r="A36" s="25" t="s">
        <v>54</v>
      </c>
      <c r="B36" s="17" t="s">
        <v>39</v>
      </c>
      <c r="C36" s="2" t="s">
        <v>47</v>
      </c>
      <c r="D36" s="2">
        <v>33</v>
      </c>
      <c r="E36" s="29" t="s">
        <v>40</v>
      </c>
      <c r="F36" s="30" t="s">
        <v>41</v>
      </c>
      <c r="G36" s="30">
        <v>45</v>
      </c>
      <c r="H36" s="32">
        <v>1.3888888888888889E-3</v>
      </c>
      <c r="I36" s="31" t="str">
        <f t="shared" si="0"/>
        <v>SATISFATÓRIO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>
      <c r="A37" s="25" t="s">
        <v>55</v>
      </c>
      <c r="B37" s="17" t="s">
        <v>39</v>
      </c>
      <c r="C37" s="2" t="s">
        <v>47</v>
      </c>
      <c r="D37" s="2">
        <v>37</v>
      </c>
      <c r="E37" s="29" t="s">
        <v>40</v>
      </c>
      <c r="F37" s="30" t="s">
        <v>41</v>
      </c>
      <c r="G37" s="30">
        <v>45</v>
      </c>
      <c r="H37" s="32">
        <v>1.6203703703703703E-3</v>
      </c>
      <c r="I37" s="31" t="str">
        <f t="shared" si="0"/>
        <v>SATISFATÓRIO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>
      <c r="A38" s="25" t="s">
        <v>56</v>
      </c>
      <c r="B38" s="17" t="s">
        <v>39</v>
      </c>
      <c r="C38" s="2" t="s">
        <v>57</v>
      </c>
      <c r="D38" s="2">
        <v>57</v>
      </c>
      <c r="E38" s="29" t="s">
        <v>40</v>
      </c>
      <c r="F38" s="30" t="s">
        <v>41</v>
      </c>
      <c r="G38" s="30">
        <v>45</v>
      </c>
      <c r="H38" s="32">
        <v>2.3611111111111111E-3</v>
      </c>
      <c r="I38" s="31" t="str">
        <f t="shared" si="0"/>
        <v>SATISFATÓRIO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>
      <c r="A39" s="25" t="s">
        <v>58</v>
      </c>
      <c r="B39" s="17" t="s">
        <v>39</v>
      </c>
      <c r="C39" s="2" t="s">
        <v>18</v>
      </c>
      <c r="D39" s="2">
        <v>32</v>
      </c>
      <c r="E39" s="29" t="s">
        <v>40</v>
      </c>
      <c r="F39" s="30" t="s">
        <v>41</v>
      </c>
      <c r="G39" s="30">
        <v>45</v>
      </c>
      <c r="H39" s="32">
        <v>1.261574074074074E-3</v>
      </c>
      <c r="I39" s="31" t="str">
        <f t="shared" si="0"/>
        <v>SATISFATÓRIO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>
      <c r="A40" s="25" t="s">
        <v>59</v>
      </c>
      <c r="B40" s="17" t="s">
        <v>39</v>
      </c>
      <c r="C40" s="2" t="s">
        <v>47</v>
      </c>
      <c r="D40" s="2">
        <v>34</v>
      </c>
      <c r="E40" s="39" t="s">
        <v>29</v>
      </c>
      <c r="F40" s="39" t="s">
        <v>29</v>
      </c>
      <c r="G40" s="39" t="s">
        <v>29</v>
      </c>
      <c r="H40" s="39" t="s">
        <v>29</v>
      </c>
      <c r="I40" s="31" t="str">
        <f t="shared" si="0"/>
        <v>INSATISFATÓRIO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>
      <c r="A41" s="25" t="s">
        <v>60</v>
      </c>
      <c r="B41" s="17" t="s">
        <v>39</v>
      </c>
      <c r="C41" s="2" t="s">
        <v>61</v>
      </c>
      <c r="D41" s="2">
        <v>29</v>
      </c>
      <c r="E41" s="29" t="s">
        <v>40</v>
      </c>
      <c r="F41" s="30" t="s">
        <v>41</v>
      </c>
      <c r="G41" s="30">
        <v>45</v>
      </c>
      <c r="H41" s="32">
        <v>1.6782407407407408E-3</v>
      </c>
      <c r="I41" s="31" t="str">
        <f t="shared" si="0"/>
        <v>SATISFATÓRIO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spans="1:29">
      <c r="A42" s="26" t="s">
        <v>62</v>
      </c>
      <c r="B42" s="17" t="s">
        <v>39</v>
      </c>
      <c r="C42" s="1" t="s">
        <v>63</v>
      </c>
      <c r="D42" s="1">
        <v>35</v>
      </c>
      <c r="E42" s="29" t="s">
        <v>40</v>
      </c>
      <c r="F42" s="30" t="s">
        <v>41</v>
      </c>
      <c r="G42" s="30">
        <v>45</v>
      </c>
      <c r="H42" s="32">
        <v>1.3888888888888889E-3</v>
      </c>
      <c r="I42" s="31" t="str">
        <f t="shared" si="0"/>
        <v>SATISFATÓRIO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spans="1:29">
      <c r="A43" s="26" t="s">
        <v>64</v>
      </c>
      <c r="B43" s="17" t="s">
        <v>39</v>
      </c>
      <c r="C43" s="1" t="s">
        <v>18</v>
      </c>
      <c r="D43" s="1">
        <v>41</v>
      </c>
      <c r="E43" s="39" t="s">
        <v>65</v>
      </c>
      <c r="F43" s="39" t="s">
        <v>65</v>
      </c>
      <c r="G43" s="39" t="s">
        <v>65</v>
      </c>
      <c r="H43" s="39" t="s">
        <v>65</v>
      </c>
      <c r="I43" s="31" t="str">
        <f t="shared" si="0"/>
        <v>INSATISFATÓRIO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spans="1:29">
      <c r="A44" s="25" t="s">
        <v>66</v>
      </c>
      <c r="B44" s="17" t="s">
        <v>39</v>
      </c>
      <c r="C44" s="2" t="s">
        <v>47</v>
      </c>
      <c r="D44" s="2">
        <v>50</v>
      </c>
      <c r="E44" s="29" t="s">
        <v>40</v>
      </c>
      <c r="F44" s="30" t="s">
        <v>41</v>
      </c>
      <c r="G44" s="30">
        <v>45</v>
      </c>
      <c r="H44" s="32">
        <v>2.7430555555555554E-3</v>
      </c>
      <c r="I44" s="31" t="str">
        <f t="shared" si="0"/>
        <v>SATISFATÓRIO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spans="1:29">
      <c r="A45" s="25" t="s">
        <v>67</v>
      </c>
      <c r="B45" s="17" t="s">
        <v>39</v>
      </c>
      <c r="C45" s="2" t="s">
        <v>18</v>
      </c>
      <c r="D45" s="2">
        <v>39</v>
      </c>
      <c r="E45" s="39" t="s">
        <v>45</v>
      </c>
      <c r="F45" s="39" t="s">
        <v>45</v>
      </c>
      <c r="G45" s="39" t="s">
        <v>45</v>
      </c>
      <c r="H45" s="39" t="s">
        <v>45</v>
      </c>
      <c r="I45" s="31" t="str">
        <f t="shared" si="0"/>
        <v>INSATISFATÓRIO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spans="1:29">
      <c r="A46" s="25" t="s">
        <v>68</v>
      </c>
      <c r="B46" s="17" t="s">
        <v>39</v>
      </c>
      <c r="C46" s="2" t="s">
        <v>18</v>
      </c>
      <c r="D46" s="2">
        <v>34</v>
      </c>
      <c r="E46" s="29" t="s">
        <v>40</v>
      </c>
      <c r="F46" s="30" t="s">
        <v>41</v>
      </c>
      <c r="G46" s="30">
        <v>45</v>
      </c>
      <c r="H46" s="32">
        <v>2.0833333333333333E-3</v>
      </c>
      <c r="I46" s="31" t="str">
        <f t="shared" si="0"/>
        <v>SATISFATÓRIO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spans="1:29">
      <c r="A47" s="25" t="s">
        <v>69</v>
      </c>
      <c r="B47" s="17" t="s">
        <v>39</v>
      </c>
      <c r="C47" s="2" t="s">
        <v>18</v>
      </c>
      <c r="D47" s="34">
        <v>37</v>
      </c>
      <c r="E47" s="34">
        <v>30</v>
      </c>
      <c r="F47" s="34">
        <v>45</v>
      </c>
      <c r="G47" s="34">
        <v>45</v>
      </c>
      <c r="H47" s="32">
        <v>1.4236111111111112E-3</v>
      </c>
      <c r="I47" s="31" t="str">
        <f t="shared" si="0"/>
        <v>SATISFATÓRIO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spans="1:29">
      <c r="A48" s="33" t="s">
        <v>70</v>
      </c>
      <c r="B48" s="17" t="s">
        <v>71</v>
      </c>
      <c r="C48" s="2" t="s">
        <v>63</v>
      </c>
      <c r="D48" s="34">
        <v>48</v>
      </c>
      <c r="E48" s="34">
        <v>30</v>
      </c>
      <c r="F48" s="34">
        <v>45</v>
      </c>
      <c r="G48" s="34">
        <v>45</v>
      </c>
      <c r="H48" s="32">
        <v>1.4814814814814814E-3</v>
      </c>
      <c r="I48" s="31" t="str">
        <f t="shared" si="0"/>
        <v>SATISFATÓRIO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spans="1:29">
      <c r="A49" s="33" t="s">
        <v>72</v>
      </c>
      <c r="B49" s="17" t="s">
        <v>71</v>
      </c>
      <c r="C49" s="2" t="s">
        <v>61</v>
      </c>
      <c r="D49" s="34">
        <v>31</v>
      </c>
      <c r="E49" s="34">
        <v>30</v>
      </c>
      <c r="F49" s="34">
        <v>45</v>
      </c>
      <c r="G49" s="34">
        <v>45</v>
      </c>
      <c r="H49" s="32">
        <v>1.712962962962963E-3</v>
      </c>
      <c r="I49" s="31" t="str">
        <f t="shared" si="0"/>
        <v>SATISFATÓRIO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spans="1:29">
      <c r="A50" s="33" t="s">
        <v>73</v>
      </c>
      <c r="B50" s="17" t="s">
        <v>71</v>
      </c>
      <c r="C50" s="2" t="s">
        <v>51</v>
      </c>
      <c r="D50" s="34">
        <v>39</v>
      </c>
      <c r="E50" s="34">
        <v>30</v>
      </c>
      <c r="F50" s="34">
        <v>45</v>
      </c>
      <c r="G50" s="34">
        <v>45</v>
      </c>
      <c r="H50" s="32">
        <v>1.3888888888888889E-3</v>
      </c>
      <c r="I50" s="31" t="str">
        <f t="shared" si="0"/>
        <v>SATISFATÓRIO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spans="1:29">
      <c r="A51" s="33" t="s">
        <v>74</v>
      </c>
      <c r="B51" s="17" t="s">
        <v>71</v>
      </c>
      <c r="C51" s="2" t="s">
        <v>47</v>
      </c>
      <c r="D51" s="34">
        <v>51</v>
      </c>
      <c r="E51" s="34">
        <v>30</v>
      </c>
      <c r="F51" s="34">
        <v>45</v>
      </c>
      <c r="G51" s="34">
        <v>45</v>
      </c>
      <c r="H51" s="32">
        <v>2.0717592592592593E-3</v>
      </c>
      <c r="I51" s="31" t="str">
        <f t="shared" si="0"/>
        <v>SATISFATÓRIO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spans="1:29">
      <c r="A52" s="33" t="s">
        <v>75</v>
      </c>
      <c r="B52" s="17" t="s">
        <v>71</v>
      </c>
      <c r="C52" s="2" t="s">
        <v>18</v>
      </c>
      <c r="D52" s="34">
        <v>55</v>
      </c>
      <c r="E52" s="34">
        <v>30</v>
      </c>
      <c r="F52" s="34">
        <v>45</v>
      </c>
      <c r="G52" s="34">
        <v>45</v>
      </c>
      <c r="H52" s="32">
        <v>2.2685185185185187E-3</v>
      </c>
      <c r="I52" s="31" t="str">
        <f t="shared" si="0"/>
        <v>SATISFATÓRIO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spans="1:29">
      <c r="A53" s="33" t="s">
        <v>76</v>
      </c>
      <c r="B53" s="17" t="s">
        <v>71</v>
      </c>
      <c r="C53" s="2" t="s">
        <v>47</v>
      </c>
      <c r="D53" s="34">
        <v>45</v>
      </c>
      <c r="E53" s="34">
        <v>30</v>
      </c>
      <c r="F53" s="34">
        <v>45</v>
      </c>
      <c r="G53" s="34">
        <v>45</v>
      </c>
      <c r="H53" s="32">
        <v>1.5277777777777779E-3</v>
      </c>
      <c r="I53" s="31" t="str">
        <f t="shared" si="0"/>
        <v>SATISFATÓRIO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spans="1:29">
      <c r="A54" s="33" t="s">
        <v>77</v>
      </c>
      <c r="B54" s="17" t="s">
        <v>71</v>
      </c>
      <c r="C54" s="2" t="s">
        <v>18</v>
      </c>
      <c r="D54" s="34">
        <v>36</v>
      </c>
      <c r="E54" s="34">
        <v>30</v>
      </c>
      <c r="F54" s="34">
        <v>45</v>
      </c>
      <c r="G54" s="34">
        <v>45</v>
      </c>
      <c r="H54" s="32">
        <v>1.712962962962963E-3</v>
      </c>
      <c r="I54" s="31" t="str">
        <f t="shared" si="0"/>
        <v>SATISFATÓRIO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29">
      <c r="A55" s="33" t="s">
        <v>78</v>
      </c>
      <c r="B55" s="17" t="s">
        <v>71</v>
      </c>
      <c r="C55" s="2" t="s">
        <v>18</v>
      </c>
      <c r="D55" s="34">
        <v>54</v>
      </c>
      <c r="E55" s="34">
        <v>30</v>
      </c>
      <c r="F55" s="34">
        <v>45</v>
      </c>
      <c r="G55" s="34">
        <v>45</v>
      </c>
      <c r="H55" s="32">
        <v>1.2731481481481483E-3</v>
      </c>
      <c r="I55" s="31" t="str">
        <f t="shared" si="0"/>
        <v>SATISFATÓRIO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29">
      <c r="A56" s="33" t="s">
        <v>79</v>
      </c>
      <c r="B56" s="17" t="s">
        <v>71</v>
      </c>
      <c r="C56" s="2" t="s">
        <v>47</v>
      </c>
      <c r="D56" s="34">
        <v>46</v>
      </c>
      <c r="E56" s="34">
        <v>30</v>
      </c>
      <c r="F56" s="34">
        <v>45</v>
      </c>
      <c r="G56" s="34">
        <v>45</v>
      </c>
      <c r="H56" s="32">
        <v>1.4583333333333334E-3</v>
      </c>
      <c r="I56" s="31" t="str">
        <f t="shared" si="0"/>
        <v>SATISFATÓRIO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spans="1:29">
      <c r="A57" s="33" t="s">
        <v>80</v>
      </c>
      <c r="B57" s="17" t="s">
        <v>71</v>
      </c>
      <c r="C57" s="2" t="s">
        <v>18</v>
      </c>
      <c r="D57" s="34">
        <v>43</v>
      </c>
      <c r="E57" s="34">
        <v>30</v>
      </c>
      <c r="F57" s="34">
        <v>45</v>
      </c>
      <c r="G57" s="34">
        <v>45</v>
      </c>
      <c r="H57" s="32">
        <v>2.7546296296296294E-3</v>
      </c>
      <c r="I57" s="31" t="str">
        <f t="shared" si="0"/>
        <v>SATISFATÓRIO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spans="1:29">
      <c r="A58" s="33" t="s">
        <v>81</v>
      </c>
      <c r="B58" s="17" t="s">
        <v>71</v>
      </c>
      <c r="C58" s="2" t="s">
        <v>18</v>
      </c>
      <c r="D58" s="34">
        <v>43</v>
      </c>
      <c r="E58" s="34">
        <v>30</v>
      </c>
      <c r="F58" s="34">
        <v>45</v>
      </c>
      <c r="G58" s="34">
        <v>45</v>
      </c>
      <c r="H58" s="32">
        <v>1.9560185185185184E-3</v>
      </c>
      <c r="I58" s="31" t="str">
        <f t="shared" si="0"/>
        <v>SATISFATÓRIO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spans="1:29">
      <c r="A59" s="33" t="s">
        <v>82</v>
      </c>
      <c r="B59" s="17" t="s">
        <v>71</v>
      </c>
      <c r="C59" s="2" t="s">
        <v>18</v>
      </c>
      <c r="D59" s="34">
        <v>23</v>
      </c>
      <c r="E59" s="34">
        <v>30</v>
      </c>
      <c r="F59" s="34">
        <v>45</v>
      </c>
      <c r="G59" s="34">
        <v>45</v>
      </c>
      <c r="H59" s="32">
        <v>1.1921296296296296E-3</v>
      </c>
      <c r="I59" s="31" t="str">
        <f t="shared" si="0"/>
        <v>SATISFATÓRIO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spans="1:29">
      <c r="A60" s="33" t="s">
        <v>83</v>
      </c>
      <c r="B60" s="17" t="s">
        <v>71</v>
      </c>
      <c r="C60" s="2" t="s">
        <v>18</v>
      </c>
      <c r="D60" s="34">
        <v>38</v>
      </c>
      <c r="E60" s="34">
        <v>30</v>
      </c>
      <c r="F60" s="34">
        <v>45</v>
      </c>
      <c r="G60" s="34">
        <v>45</v>
      </c>
      <c r="H60" s="32">
        <v>2.0601851851851853E-3</v>
      </c>
      <c r="I60" s="31" t="str">
        <f t="shared" si="0"/>
        <v>SATISFATÓRIO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spans="1:29">
      <c r="A61" s="33" t="s">
        <v>84</v>
      </c>
      <c r="B61" s="27" t="s">
        <v>71</v>
      </c>
      <c r="C61" s="2" t="s">
        <v>47</v>
      </c>
      <c r="D61" s="34">
        <v>37</v>
      </c>
      <c r="E61" s="34">
        <v>30</v>
      </c>
      <c r="F61" s="34">
        <v>45</v>
      </c>
      <c r="G61" s="34">
        <v>45</v>
      </c>
      <c r="H61" s="32">
        <v>1.4583333333333334E-3</v>
      </c>
      <c r="I61" s="31" t="str">
        <f t="shared" si="0"/>
        <v>SATISFATÓRIO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spans="1:29">
      <c r="A62" s="33" t="s">
        <v>85</v>
      </c>
      <c r="B62" s="27" t="s">
        <v>71</v>
      </c>
      <c r="C62" s="1" t="s">
        <v>18</v>
      </c>
      <c r="D62" s="34">
        <v>43</v>
      </c>
      <c r="E62" s="34">
        <v>30</v>
      </c>
      <c r="F62" s="34">
        <v>45</v>
      </c>
      <c r="G62" s="34">
        <v>45</v>
      </c>
      <c r="H62" s="32">
        <v>1.3310185185185185E-3</v>
      </c>
      <c r="I62" s="31" t="str">
        <f t="shared" si="0"/>
        <v>SATISFATÓRIO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spans="1:29">
      <c r="A63" s="33" t="s">
        <v>86</v>
      </c>
      <c r="B63" s="17" t="s">
        <v>71</v>
      </c>
      <c r="C63" s="2" t="s">
        <v>18</v>
      </c>
      <c r="D63" s="34">
        <v>24</v>
      </c>
      <c r="E63" s="34">
        <v>30</v>
      </c>
      <c r="F63" s="34">
        <v>45</v>
      </c>
      <c r="G63" s="34">
        <v>45</v>
      </c>
      <c r="H63" s="32">
        <v>1.3657407407407407E-3</v>
      </c>
      <c r="I63" s="31" t="str">
        <f t="shared" si="0"/>
        <v>SATISFATÓRIO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spans="1:29" ht="13.5" customHeight="1">
      <c r="A64" s="33" t="s">
        <v>87</v>
      </c>
      <c r="B64" s="17" t="s">
        <v>71</v>
      </c>
      <c r="C64" s="2" t="s">
        <v>18</v>
      </c>
      <c r="D64" s="34">
        <v>58</v>
      </c>
      <c r="E64" s="34">
        <v>30</v>
      </c>
      <c r="F64" s="34">
        <v>45</v>
      </c>
      <c r="G64" s="34">
        <v>45</v>
      </c>
      <c r="H64" s="32">
        <v>2.8009259259259259E-3</v>
      </c>
      <c r="I64" s="31" t="str">
        <f t="shared" si="0"/>
        <v>INSATISFATÓRIO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spans="1:29" ht="13.5" customHeight="1">
      <c r="A65" s="33" t="s">
        <v>88</v>
      </c>
      <c r="B65" s="17" t="s">
        <v>71</v>
      </c>
      <c r="C65" s="2" t="s">
        <v>18</v>
      </c>
      <c r="D65" s="34">
        <v>45</v>
      </c>
      <c r="E65" s="34">
        <v>30</v>
      </c>
      <c r="F65" s="34">
        <v>45</v>
      </c>
      <c r="G65" s="34">
        <v>45</v>
      </c>
      <c r="H65" s="32">
        <v>2.1875000000000002E-3</v>
      </c>
      <c r="I65" s="31" t="str">
        <f t="shared" si="0"/>
        <v>SATISFATÓRIO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spans="1:29" ht="13.5" customHeight="1">
      <c r="A66" s="33" t="s">
        <v>89</v>
      </c>
      <c r="B66" s="17" t="s">
        <v>71</v>
      </c>
      <c r="C66" s="2" t="s">
        <v>18</v>
      </c>
      <c r="D66" s="34">
        <v>40</v>
      </c>
      <c r="E66" s="34">
        <v>30</v>
      </c>
      <c r="F66" s="34">
        <v>45</v>
      </c>
      <c r="G66" s="34">
        <v>45</v>
      </c>
      <c r="H66" s="32">
        <v>1.9560185185185184E-3</v>
      </c>
      <c r="I66" s="31" t="str">
        <f t="shared" si="0"/>
        <v>SATISFATÓRIO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spans="1:29">
      <c r="A67" s="33" t="s">
        <v>90</v>
      </c>
      <c r="B67" s="17" t="s">
        <v>71</v>
      </c>
      <c r="C67" s="2" t="s">
        <v>18</v>
      </c>
      <c r="D67" s="34">
        <v>26</v>
      </c>
      <c r="E67" s="34">
        <v>30</v>
      </c>
      <c r="F67" s="34">
        <v>45</v>
      </c>
      <c r="G67" s="34">
        <v>45</v>
      </c>
      <c r="H67" s="32">
        <v>1.4236111111111112E-3</v>
      </c>
      <c r="I67" s="31" t="str">
        <f t="shared" si="0"/>
        <v>SATISFATÓRIO</v>
      </c>
    </row>
    <row r="68" spans="1:29">
      <c r="A68" s="25" t="s">
        <v>91</v>
      </c>
      <c r="B68" s="17" t="s">
        <v>92</v>
      </c>
      <c r="C68" s="2" t="s">
        <v>57</v>
      </c>
      <c r="D68" s="2">
        <v>34</v>
      </c>
      <c r="E68" s="10">
        <v>30</v>
      </c>
      <c r="F68" s="10">
        <v>45</v>
      </c>
      <c r="G68" s="10">
        <v>45</v>
      </c>
      <c r="H68" s="32">
        <v>1.8055555555555555E-3</v>
      </c>
      <c r="I68" s="31" t="str">
        <f t="shared" si="0"/>
        <v>SATISFATÓRIO</v>
      </c>
    </row>
    <row r="69" spans="1:29">
      <c r="A69" s="25" t="s">
        <v>93</v>
      </c>
      <c r="B69" s="17" t="s">
        <v>92</v>
      </c>
      <c r="C69" s="2" t="s">
        <v>51</v>
      </c>
      <c r="D69" s="2">
        <v>43</v>
      </c>
      <c r="E69" s="11">
        <v>30</v>
      </c>
      <c r="F69" s="11">
        <v>45</v>
      </c>
      <c r="G69" s="10">
        <v>45</v>
      </c>
      <c r="H69" s="32">
        <v>1.7013888888888888E-3</v>
      </c>
      <c r="I69" s="31" t="str">
        <f t="shared" si="0"/>
        <v>SATISFATÓRIO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spans="1:29">
      <c r="A70" s="25" t="s">
        <v>94</v>
      </c>
      <c r="B70" s="17" t="s">
        <v>92</v>
      </c>
      <c r="C70" s="2" t="s">
        <v>57</v>
      </c>
      <c r="D70" s="2">
        <v>49</v>
      </c>
      <c r="E70" s="2">
        <v>30</v>
      </c>
      <c r="F70" s="2">
        <v>45</v>
      </c>
      <c r="G70" s="10">
        <v>45</v>
      </c>
      <c r="H70" s="32">
        <v>1.3078703703703703E-3</v>
      </c>
      <c r="I70" s="31" t="str">
        <f t="shared" ref="I70:I87" si="1">IF(AND(E70&gt;=30, F70&gt;=45, G70&gt;=45, H70&gt;0, IF(D70&lt;=40, H70&lt;=TIME(0,3,0), H70&lt;=TIME(0,4,0))), "SATISFATÓRIO", "INSATISFATÓRIO")</f>
        <v>SATISFATÓRIO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spans="1:29">
      <c r="A71" s="25" t="s">
        <v>95</v>
      </c>
      <c r="B71" s="17" t="s">
        <v>92</v>
      </c>
      <c r="C71" s="2" t="s">
        <v>47</v>
      </c>
      <c r="D71" s="2">
        <v>46</v>
      </c>
      <c r="E71" s="2">
        <v>30</v>
      </c>
      <c r="F71" s="2">
        <v>45</v>
      </c>
      <c r="G71" s="10">
        <v>45</v>
      </c>
      <c r="H71" s="32">
        <v>1.238425925925926E-3</v>
      </c>
      <c r="I71" s="31" t="str">
        <f t="shared" si="1"/>
        <v>SATISFATÓRIO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spans="1:29">
      <c r="A72" s="25" t="s">
        <v>96</v>
      </c>
      <c r="B72" s="17" t="s">
        <v>92</v>
      </c>
      <c r="C72" s="2" t="s">
        <v>18</v>
      </c>
      <c r="D72" s="2">
        <v>40</v>
      </c>
      <c r="E72" s="10">
        <v>30</v>
      </c>
      <c r="F72" s="10">
        <v>45</v>
      </c>
      <c r="G72" s="10">
        <v>45</v>
      </c>
      <c r="H72" s="32">
        <v>1.4467592592592592E-3</v>
      </c>
      <c r="I72" s="31" t="str">
        <f t="shared" si="1"/>
        <v>SATISFATÓRIO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spans="1:29">
      <c r="A73" s="25" t="s">
        <v>97</v>
      </c>
      <c r="B73" s="17" t="s">
        <v>92</v>
      </c>
      <c r="C73" s="2" t="s">
        <v>18</v>
      </c>
      <c r="D73" s="2">
        <v>42</v>
      </c>
      <c r="E73" s="10">
        <v>30</v>
      </c>
      <c r="F73" s="10">
        <v>45</v>
      </c>
      <c r="G73" s="10">
        <v>45</v>
      </c>
      <c r="H73" s="32">
        <v>1.5046296296296296E-3</v>
      </c>
      <c r="I73" s="31" t="str">
        <f t="shared" si="1"/>
        <v>SATISFATÓRIO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spans="1:29">
      <c r="A74" s="25" t="s">
        <v>98</v>
      </c>
      <c r="B74" s="18" t="s">
        <v>92</v>
      </c>
      <c r="C74" s="3" t="s">
        <v>18</v>
      </c>
      <c r="D74" s="3">
        <v>41</v>
      </c>
      <c r="E74" s="11">
        <v>30</v>
      </c>
      <c r="F74" s="11">
        <v>45</v>
      </c>
      <c r="G74" s="10">
        <v>45</v>
      </c>
      <c r="H74" s="32">
        <v>1.6898148148148148E-3</v>
      </c>
      <c r="I74" s="31" t="str">
        <f t="shared" si="1"/>
        <v>SATISFATÓRIO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spans="1:29">
      <c r="A75" s="25" t="s">
        <v>99</v>
      </c>
      <c r="B75" s="17" t="s">
        <v>92</v>
      </c>
      <c r="C75" s="2" t="s">
        <v>61</v>
      </c>
      <c r="D75" s="2">
        <v>35</v>
      </c>
      <c r="E75" s="2">
        <v>30</v>
      </c>
      <c r="F75" s="2">
        <v>45</v>
      </c>
      <c r="G75" s="2">
        <v>45</v>
      </c>
      <c r="H75" s="32">
        <v>1.5046296296296296E-3</v>
      </c>
      <c r="I75" s="31" t="str">
        <f t="shared" si="1"/>
        <v>SATISFATÓRIO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spans="1:29">
      <c r="A76" s="25" t="s">
        <v>100</v>
      </c>
      <c r="B76" s="17" t="s">
        <v>92</v>
      </c>
      <c r="C76" s="2" t="s">
        <v>18</v>
      </c>
      <c r="D76" s="2">
        <v>26</v>
      </c>
      <c r="E76" s="10">
        <v>30</v>
      </c>
      <c r="F76" s="10">
        <v>45</v>
      </c>
      <c r="G76" s="10">
        <v>45</v>
      </c>
      <c r="H76" s="32">
        <v>1.25E-3</v>
      </c>
      <c r="I76" s="31" t="str">
        <f t="shared" si="1"/>
        <v>SATISFATÓRIO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spans="1:29">
      <c r="A77" s="25" t="s">
        <v>101</v>
      </c>
      <c r="B77" s="17" t="s">
        <v>92</v>
      </c>
      <c r="C77" s="2" t="s">
        <v>18</v>
      </c>
      <c r="D77" s="2">
        <v>43</v>
      </c>
      <c r="E77" s="2">
        <v>30</v>
      </c>
      <c r="F77" s="2">
        <v>45</v>
      </c>
      <c r="G77" s="10">
        <v>45</v>
      </c>
      <c r="H77" s="32">
        <v>2.662037037037037E-3</v>
      </c>
      <c r="I77" s="31" t="str">
        <f t="shared" si="1"/>
        <v>SATISFATÓRIO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spans="1:29">
      <c r="A78" s="25" t="s">
        <v>102</v>
      </c>
      <c r="B78" s="17" t="s">
        <v>92</v>
      </c>
      <c r="C78" s="2" t="s">
        <v>18</v>
      </c>
      <c r="D78" s="2">
        <v>38</v>
      </c>
      <c r="E78" s="10">
        <v>30</v>
      </c>
      <c r="F78" s="10">
        <v>45</v>
      </c>
      <c r="G78" s="10">
        <v>45</v>
      </c>
      <c r="H78" s="32">
        <v>1.712962962962963E-3</v>
      </c>
      <c r="I78" s="31" t="str">
        <f t="shared" si="1"/>
        <v>SATISFATÓRIO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>
      <c r="A79" s="25" t="s">
        <v>103</v>
      </c>
      <c r="B79" s="17" t="s">
        <v>92</v>
      </c>
      <c r="C79" s="2" t="s">
        <v>18</v>
      </c>
      <c r="D79" s="2">
        <v>22</v>
      </c>
      <c r="E79" s="10">
        <v>30</v>
      </c>
      <c r="F79" s="10">
        <v>45</v>
      </c>
      <c r="G79" s="10">
        <v>45</v>
      </c>
      <c r="H79" s="32">
        <v>1.238425925925926E-3</v>
      </c>
      <c r="I79" s="31" t="str">
        <f t="shared" si="1"/>
        <v>SATISFATÓRIO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>
      <c r="A80" s="25" t="s">
        <v>104</v>
      </c>
      <c r="B80" s="17" t="s">
        <v>92</v>
      </c>
      <c r="C80" s="2" t="s">
        <v>47</v>
      </c>
      <c r="D80" s="2">
        <v>36</v>
      </c>
      <c r="E80" s="10">
        <v>30</v>
      </c>
      <c r="F80" s="10">
        <v>45</v>
      </c>
      <c r="G80" s="10">
        <v>45</v>
      </c>
      <c r="H80" s="32">
        <v>1.6782407407407408E-3</v>
      </c>
      <c r="I80" s="31" t="str">
        <f t="shared" si="1"/>
        <v>SATISFATÓRIO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29">
      <c r="A81" s="25" t="s">
        <v>105</v>
      </c>
      <c r="B81" s="17" t="s">
        <v>92</v>
      </c>
      <c r="C81" s="2" t="s">
        <v>18</v>
      </c>
      <c r="D81" s="2">
        <v>51</v>
      </c>
      <c r="E81" s="10">
        <v>30</v>
      </c>
      <c r="F81" s="10">
        <v>45</v>
      </c>
      <c r="G81" s="10">
        <v>45</v>
      </c>
      <c r="H81" s="32">
        <v>1.9097222222222222E-3</v>
      </c>
      <c r="I81" s="31" t="str">
        <f t="shared" si="1"/>
        <v>SATISFATÓRIO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spans="1:29">
      <c r="A82" s="25" t="s">
        <v>106</v>
      </c>
      <c r="B82" s="19" t="s">
        <v>92</v>
      </c>
      <c r="C82" s="2" t="s">
        <v>18</v>
      </c>
      <c r="D82" s="2">
        <v>38</v>
      </c>
      <c r="E82" s="10">
        <v>30</v>
      </c>
      <c r="F82" s="10">
        <v>45</v>
      </c>
      <c r="G82" s="10">
        <v>45</v>
      </c>
      <c r="H82" s="32">
        <v>1.5393518518518519E-3</v>
      </c>
      <c r="I82" s="31" t="str">
        <f t="shared" si="1"/>
        <v>SATISFATÓRIO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spans="1:29">
      <c r="A83" s="25" t="s">
        <v>107</v>
      </c>
      <c r="B83" s="17" t="s">
        <v>92</v>
      </c>
      <c r="C83" s="2" t="s">
        <v>18</v>
      </c>
      <c r="D83" s="2">
        <v>36</v>
      </c>
      <c r="E83" s="10">
        <v>32</v>
      </c>
      <c r="F83" s="10">
        <v>45</v>
      </c>
      <c r="G83" s="10">
        <v>45</v>
      </c>
      <c r="H83" s="32">
        <v>1.736111111111111E-3</v>
      </c>
      <c r="I83" s="31" t="str">
        <f t="shared" si="1"/>
        <v>SATISFATÓRIO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spans="1:29">
      <c r="A84" s="25" t="s">
        <v>108</v>
      </c>
      <c r="B84" s="19" t="s">
        <v>92</v>
      </c>
      <c r="C84" s="2" t="s">
        <v>37</v>
      </c>
      <c r="D84" s="2">
        <v>38</v>
      </c>
      <c r="E84" s="39" t="s">
        <v>29</v>
      </c>
      <c r="F84" s="39" t="s">
        <v>29</v>
      </c>
      <c r="G84" s="39" t="s">
        <v>29</v>
      </c>
      <c r="H84" s="39" t="s">
        <v>29</v>
      </c>
      <c r="I84" s="31" t="str">
        <f t="shared" si="1"/>
        <v>INSATISFATÓRIO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9">
      <c r="A85" s="25" t="s">
        <v>55</v>
      </c>
      <c r="B85" s="19" t="s">
        <v>92</v>
      </c>
      <c r="C85" s="2" t="s">
        <v>47</v>
      </c>
      <c r="D85" s="2">
        <v>37</v>
      </c>
      <c r="E85" s="10">
        <v>30</v>
      </c>
      <c r="F85" s="10">
        <v>45</v>
      </c>
      <c r="G85" s="10">
        <v>45</v>
      </c>
      <c r="H85" s="32">
        <v>1.3888888888888889E-3</v>
      </c>
      <c r="I85" s="31" t="str">
        <f t="shared" si="1"/>
        <v>SATISFATÓRIO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spans="1:29">
      <c r="A86" s="25" t="s">
        <v>109</v>
      </c>
      <c r="B86" s="19" t="s">
        <v>92</v>
      </c>
      <c r="C86" s="2" t="s">
        <v>18</v>
      </c>
      <c r="D86" s="2">
        <v>35</v>
      </c>
      <c r="E86" s="10">
        <v>30</v>
      </c>
      <c r="F86" s="10">
        <v>45</v>
      </c>
      <c r="G86" s="10">
        <v>45</v>
      </c>
      <c r="H86" s="32">
        <v>2.0370370370370369E-3</v>
      </c>
      <c r="I86" s="31" t="str">
        <f t="shared" si="1"/>
        <v>SATISFATÓRIO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spans="1:29">
      <c r="A87" s="44" t="s">
        <v>110</v>
      </c>
      <c r="B87" s="45" t="s">
        <v>92</v>
      </c>
      <c r="C87" s="46" t="s">
        <v>47</v>
      </c>
      <c r="D87" s="46">
        <v>35</v>
      </c>
      <c r="E87" s="47">
        <v>30</v>
      </c>
      <c r="F87" s="47">
        <v>45</v>
      </c>
      <c r="G87" s="47">
        <v>45</v>
      </c>
      <c r="H87" s="48">
        <v>1.8287037037037037E-3</v>
      </c>
      <c r="I87" s="49" t="str">
        <f t="shared" si="1"/>
        <v>SATISFATÓRIO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9">
      <c r="A88" s="40" t="s">
        <v>111</v>
      </c>
      <c r="B88" s="41" t="s">
        <v>92</v>
      </c>
      <c r="C88" s="42" t="s">
        <v>18</v>
      </c>
      <c r="D88" s="42">
        <v>42</v>
      </c>
      <c r="E88" s="10">
        <v>30</v>
      </c>
      <c r="F88" s="10">
        <v>45</v>
      </c>
      <c r="G88" s="10">
        <v>45</v>
      </c>
      <c r="H88" s="32">
        <v>2.0023148148148148E-3</v>
      </c>
      <c r="I88" s="4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spans="1:29">
      <c r="A89" s="20"/>
      <c r="B89" s="12"/>
      <c r="C89" s="50" t="s">
        <v>112</v>
      </c>
      <c r="D89" s="51" t="s">
        <v>113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spans="1:29">
      <c r="A90" s="20"/>
      <c r="B90" s="12"/>
      <c r="C90" s="22">
        <f>COUNTIF(I6:I82,"Satisfatório")</f>
        <v>65</v>
      </c>
      <c r="D90" s="22">
        <f>COUNTIF(I6:I82,"Insatisfatório")</f>
        <v>12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9">
      <c r="A91" s="20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spans="1:29">
      <c r="A92" s="2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spans="1:29">
      <c r="A93" s="2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9">
      <c r="A94" s="20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9">
      <c r="A95" s="20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spans="1:29">
      <c r="A96" s="20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>
      <c r="A97" s="20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spans="1:23">
      <c r="A98" s="2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spans="1:23">
      <c r="A99" s="20"/>
      <c r="O99" s="12"/>
      <c r="P99" s="12"/>
      <c r="Q99" s="12"/>
      <c r="R99" s="12"/>
      <c r="S99" s="12"/>
      <c r="T99" s="12"/>
      <c r="U99" s="12"/>
      <c r="V99" s="12"/>
      <c r="W99" s="12"/>
    </row>
    <row r="100" spans="1:23">
      <c r="A100" s="20"/>
    </row>
    <row r="101" spans="1:23">
      <c r="A101" s="20"/>
    </row>
    <row r="102" spans="1:23">
      <c r="A102" s="20"/>
    </row>
    <row r="103" spans="1:23">
      <c r="A103" s="20"/>
    </row>
  </sheetData>
  <autoFilter ref="A5:I90" xr:uid="{00000000-0009-0000-0000-000000000000}">
    <sortState xmlns:xlrd2="http://schemas.microsoft.com/office/spreadsheetml/2017/richdata2" ref="A6:I82">
      <sortCondition ref="C5:C82"/>
    </sortState>
  </autoFilter>
  <mergeCells count="7">
    <mergeCell ref="A1:I4"/>
    <mergeCell ref="K3:N3"/>
    <mergeCell ref="R3:U3"/>
    <mergeCell ref="Y3:AB3"/>
    <mergeCell ref="K4:N4"/>
    <mergeCell ref="R4:U4"/>
    <mergeCell ref="Y4:AB4"/>
  </mergeCells>
  <conditionalFormatting sqref="I6:I88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opLeftCell="A6" workbookViewId="0">
      <selection activeCell="C14" sqref="C14"/>
    </sheetView>
  </sheetViews>
  <sheetFormatPr defaultRowHeight="15"/>
  <cols>
    <col min="2" max="2" width="12.7109375" bestFit="1" customWidth="1"/>
  </cols>
  <sheetData>
    <row r="2" spans="2:4">
      <c r="B2" s="24" t="s">
        <v>114</v>
      </c>
      <c r="C2" s="24">
        <f>SUM(C3,C4)</f>
        <v>77</v>
      </c>
      <c r="D2" s="24" t="s">
        <v>115</v>
      </c>
    </row>
    <row r="3" spans="2:4">
      <c r="B3" s="22" t="s">
        <v>112</v>
      </c>
      <c r="C3" s="22">
        <f>JULHO!C90</f>
        <v>65</v>
      </c>
      <c r="D3" s="23">
        <f>C3/C2</f>
        <v>0.8441558441558441</v>
      </c>
    </row>
    <row r="4" spans="2:4">
      <c r="B4" s="22" t="s">
        <v>113</v>
      </c>
      <c r="C4" s="22">
        <f>JULHO!D90</f>
        <v>12</v>
      </c>
      <c r="D4" s="23">
        <f>C4/C2</f>
        <v>0.15584415584415584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d1961e7dfc7bc417e1f4e12f3379bcc1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f09a9bfa0641305eef767a90ff814254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3A4508-2AA7-4CAA-BE22-F0846752A258}"/>
</file>

<file path=customXml/itemProps2.xml><?xml version="1.0" encoding="utf-8"?>
<ds:datastoreItem xmlns:ds="http://schemas.openxmlformats.org/officeDocument/2006/customXml" ds:itemID="{1939D477-20D4-4D42-B418-5D5D32C62B11}"/>
</file>

<file path=customXml/itemProps3.xml><?xml version="1.0" encoding="utf-8"?>
<ds:datastoreItem xmlns:ds="http://schemas.openxmlformats.org/officeDocument/2006/customXml" ds:itemID="{308A7ECA-B70D-4509-9CAA-4ED79D3107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2026-08-04T15:41:42Z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