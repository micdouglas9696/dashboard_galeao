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Thales Silva\Downloads\"/>
    </mc:Choice>
  </mc:AlternateContent>
  <xr:revisionPtr revIDLastSave="73" documentId="13_ncr:1_{9A9916D4-232E-48A2-907C-ECF072D817EF}" xr6:coauthVersionLast="47" xr6:coauthVersionMax="47" xr10:uidLastSave="{C5E9C577-17F6-46A7-85D9-92E1796D3E86}"/>
  <bookViews>
    <workbookView xWindow="-120" yWindow="-120" windowWidth="20730" windowHeight="11040" xr2:uid="{00000000-000D-0000-FFFF-FFFF00000000}"/>
  </bookViews>
  <sheets>
    <sheet name="MAIO" sheetId="3" r:id="rId1"/>
    <sheet name="Gráfico" sheetId="4" r:id="rId2"/>
  </sheets>
  <definedNames>
    <definedName name="_xlnm._FilterDatabase" localSheetId="0" hidden="1">MAIO!$B$5:$F$79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12" i="3"/>
  <c r="F62" i="3"/>
  <c r="F60" i="3"/>
  <c r="F61" i="3"/>
  <c r="F57" i="3"/>
  <c r="F56" i="3"/>
  <c r="F59" i="3"/>
  <c r="F65" i="3"/>
  <c r="F49" i="3"/>
  <c r="F8" i="3"/>
  <c r="F17" i="3"/>
  <c r="F9" i="3"/>
  <c r="F18" i="3"/>
  <c r="F35" i="3" l="1"/>
  <c r="F41" i="3"/>
  <c r="F26" i="3" l="1"/>
  <c r="F27" i="3"/>
  <c r="F6" i="3"/>
  <c r="F64" i="3"/>
  <c r="F66" i="3"/>
  <c r="F67" i="3"/>
  <c r="F68" i="3"/>
  <c r="F69" i="3"/>
  <c r="F28" i="3"/>
  <c r="F29" i="3"/>
  <c r="F30" i="3"/>
  <c r="F50" i="3"/>
  <c r="F31" i="3"/>
  <c r="F10" i="3"/>
  <c r="F11" i="3"/>
  <c r="F13" i="3"/>
  <c r="F14" i="3"/>
  <c r="F45" i="3"/>
  <c r="F52" i="3"/>
  <c r="F44" i="3"/>
  <c r="F32" i="3"/>
  <c r="F70" i="3"/>
  <c r="F33" i="3"/>
  <c r="F71" i="3"/>
  <c r="F72" i="3"/>
  <c r="F15" i="3"/>
  <c r="F16" i="3"/>
  <c r="F43" i="3"/>
  <c r="F46" i="3"/>
  <c r="F34" i="3"/>
  <c r="F73" i="3"/>
  <c r="F36" i="3"/>
  <c r="F53" i="3"/>
  <c r="F37" i="3"/>
  <c r="F19" i="3"/>
  <c r="F47" i="3"/>
  <c r="F20" i="3"/>
  <c r="F38" i="3"/>
  <c r="F21" i="3"/>
  <c r="F39" i="3"/>
  <c r="F58" i="3"/>
  <c r="F74" i="3"/>
  <c r="F22" i="3"/>
  <c r="F75" i="3"/>
  <c r="F76" i="3"/>
  <c r="F48" i="3"/>
  <c r="F54" i="3"/>
  <c r="F40" i="3"/>
  <c r="F77" i="3"/>
  <c r="F55" i="3"/>
  <c r="F51" i="3"/>
  <c r="F23" i="3"/>
  <c r="F42" i="3"/>
  <c r="F78" i="3"/>
  <c r="F24" i="3"/>
  <c r="F79" i="3"/>
  <c r="F25" i="3"/>
  <c r="F63" i="3"/>
  <c r="C83" i="3" l="1"/>
  <c r="C3" i="4" s="1"/>
  <c r="D83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<sst xmlns="http://schemas.openxmlformats.org/spreadsheetml/2006/main" count="235" uniqueCount="98">
  <si>
    <t>AFERIÇÃO DE TEMPO RESPOSTA TP/EPR MAIO DE 2026</t>
  </si>
  <si>
    <t>NOME</t>
  </si>
  <si>
    <t>EQUIPE</t>
  </si>
  <si>
    <t>Função</t>
  </si>
  <si>
    <t>MAIO</t>
  </si>
  <si>
    <t>RESULTADO</t>
  </si>
  <si>
    <t>BRUNO DOS SANTOS LEAL BLAS</t>
  </si>
  <si>
    <t>ALFA</t>
  </si>
  <si>
    <t>BA-LR</t>
  </si>
  <si>
    <t>RAFAEL RIBEIRO DE SIQUEIRA</t>
  </si>
  <si>
    <t>BA-MC</t>
  </si>
  <si>
    <t>LUAN ALVES DOS SANTOS</t>
  </si>
  <si>
    <t>BA2</t>
  </si>
  <si>
    <t>ALESSANDRO DA SILVA TEIXEIRA</t>
  </si>
  <si>
    <t>MAICON NEI ROCHA DA SILVA</t>
  </si>
  <si>
    <t>CARLOS ALBERTO BARBOSA DA SILVA</t>
  </si>
  <si>
    <t>ALESSANDRO CARDOSO DE OLIVEIRA</t>
  </si>
  <si>
    <t>RODRIGO FERNANDES JUCÁ E SILVA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</si>
  <si>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</si>
  <si>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</si>
  <si>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</si>
  <si>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</si>
  <si>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</si>
  <si>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JAMERSON UBIRACY DE ARAÚJO</t>
  </si>
  <si>
    <t>PAULO ROBERTO FERNANDES</t>
  </si>
  <si>
    <t>GERSON DA SILVA FERREIRA</t>
  </si>
  <si>
    <t>LUIZ FERNANDO VIEIRA PEREIRA E SILVA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</si>
  <si>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</si>
  <si>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</si>
  <si>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</si>
  <si>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</si>
  <si>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</si>
  <si>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</si>
  <si>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</si>
  <si>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</si>
  <si>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</si>
  <si>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</si>
  <si>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</si>
  <si>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</si>
  <si>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</si>
  <si>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</si>
  <si>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</si>
  <si>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</si>
  <si>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</si>
  <si>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</si>
  <si>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</si>
  <si>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</si>
  <si>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</si>
  <si>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</si>
  <si>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</si>
  <si>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</si>
  <si>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</si>
  <si>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>YAGO ARINO DA ROCHA</t>
  </si>
  <si>
    <t>WENDEL DE OLIVEIRA SOARES</t>
  </si>
  <si>
    <t>CHARLIE</t>
  </si>
  <si>
    <t>MARCELO BARBOSA DE SOUZA</t>
  </si>
  <si>
    <t>LEANDRO DA ROCHA SANT´ANNA</t>
  </si>
  <si>
    <t>FABIO DE SOUZA FONSECA</t>
  </si>
  <si>
    <t>IGOR DA SILVA DO AMARAL</t>
  </si>
  <si>
    <t>HELIO ISMERIM DOS SANTOS</t>
  </si>
  <si>
    <t>MARCELO DOMINGOS CARUNCHO</t>
  </si>
  <si>
    <t>PAULO ROGÉRIO MARQUES MEDEIROS</t>
  </si>
  <si>
    <t>ROGERIO CERVO MOTTA</t>
  </si>
  <si>
    <t>THALES DIEGO SOARES FERREIRA</t>
  </si>
  <si>
    <t>FRANCISCO SIMÃO DE LIMA NETO SA</t>
  </si>
  <si>
    <t>LEANDRO RICARDO LIMA DE OLIVEIRA</t>
  </si>
  <si>
    <t>NIELSON SOUZA DE OLIVEIRA</t>
  </si>
  <si>
    <t>SALATIEL DOS SANTOS LUIZ GOULART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</si>
  <si>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</si>
  <si>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</si>
  <si>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</si>
  <si>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</si>
  <si>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</si>
  <si>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</si>
  <si>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</si>
  <si>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</si>
  <si>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ARTUR CAVCALCANTI NETO</t>
  </si>
  <si>
    <t>BRUNO DA SILVA SANTOS</t>
  </si>
  <si>
    <t>DELTA</t>
  </si>
  <si>
    <t>DOUGLAS ARAÚJO DOS SANTOS</t>
  </si>
  <si>
    <t>DOUGLAS LEANDRO LOPES CARVALHO</t>
  </si>
  <si>
    <t>ÉDIPO FERNANDES DA SILVA</t>
  </si>
  <si>
    <t>EDSON COELHO DAVID</t>
  </si>
  <si>
    <t>LEANDRO RODRIGO SILVEIRA ROSA</t>
  </si>
  <si>
    <t>LEONARDO MONTEIRO DA SILVA</t>
  </si>
  <si>
    <t>LUCAS DIAS DE FARIAS</t>
  </si>
  <si>
    <t>MARCUS PAULO DA LUZ OLIVEIRA DA SILVEIRA</t>
  </si>
  <si>
    <t xml:space="preserve">RODRIGO DOS SANTOS FRANCO </t>
  </si>
  <si>
    <t>RODRIGO OLIVEIRA ALVES</t>
  </si>
  <si>
    <t>ROGER PEREIRA DA SILVA BARBOSA OZÓRIO</t>
  </si>
  <si>
    <t>SERGIO LUIZ DOS SANTOS JUNIOR</t>
  </si>
  <si>
    <t>WALLACE ALVES RODRIGUES DA SILVA</t>
  </si>
  <si>
    <t>WESLEY DE CARVALHO CORREA</t>
  </si>
  <si>
    <t>Contagem</t>
  </si>
  <si>
    <t>Excelente</t>
  </si>
  <si>
    <t>Bom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</si>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</sst>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4" fillId="0" borderId="1" xfId="0" applyFont="1" applyBorder="1"/>
    <xf numFmtId="0" fontId="4" fillId="10" borderId="9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2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Fevereiro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0.86486486486486491</c:v>
                </c:pt>
                <c:pt idx="1">
                  <c:v>0.13513513513513514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3"/>
  <sheetViews>
    <sheetView tabSelected="1" zoomScale="70" zoomScaleNormal="70" workbookViewId="0">
      <selection activeCell="E37" sqref="E37"/>
    </sheetView>
  </sheetViews>
  <sheetFormatPr defaultRowHeight="1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>
      <c r="B1" s="31" t="s">
        <v>0</v>
      </c>
      <c r="C1" s="31"/>
      <c r="D1" s="31"/>
      <c r="E1" s="31"/>
      <c r="F1" s="31"/>
    </row>
    <row r="2" spans="2:6" ht="15" customHeight="1">
      <c r="B2" s="31"/>
      <c r="C2" s="31"/>
      <c r="D2" s="31"/>
      <c r="E2" s="31"/>
      <c r="F2" s="31"/>
    </row>
    <row r="3" spans="2:6" ht="15" customHeight="1">
      <c r="B3" s="31"/>
      <c r="C3" s="31"/>
      <c r="D3" s="31"/>
      <c r="E3" s="31"/>
      <c r="F3" s="31"/>
    </row>
    <row r="4" spans="2:6" ht="15" customHeight="1">
      <c r="B4" s="31"/>
      <c r="C4" s="31"/>
      <c r="D4" s="31"/>
      <c r="E4" s="31"/>
      <c r="F4" s="31"/>
    </row>
    <row r="5" spans="2:6">
      <c r="B5" s="18" t="s">
        <v>1</v>
      </c>
      <c r="C5" s="19" t="s">
        <v>2</v>
      </c>
      <c r="D5" s="18" t="s">
        <v>3</v>
      </c>
      <c r="E5" s="18" t="s">
        <v>4</v>
      </c>
      <c r="F5" s="20" t="s">
        <v>5</v>
      </c>
    </row>
    <row r="6" spans="2:6">
      <c r="B6" s="22" t="s">
        <v>6</v>
      </c>
      <c r="C6" s="12" t="s">
        <v>7</v>
      </c>
      <c r="D6" s="23" t="s">
        <v>8</v>
      </c>
      <c r="E6" s="3">
        <v>5.4398148148148144E-4</v>
      </c>
      <c r="F6" s="4" t="str">
        <f t="shared" ref="F6:F37" si="0">IF(E6&lt;=TIME(0,1,0),"Excelente",IF(E6&lt;=TIME(0,1,30),"Bom","Ruim"))</f>
        <v>Excelente</v>
      </c>
    </row>
    <row r="7" spans="2:6">
      <c r="B7" s="24" t="s">
        <v>9</v>
      </c>
      <c r="C7" s="12" t="s">
        <v>7</v>
      </c>
      <c r="D7" s="23" t="s">
        <v>10</v>
      </c>
      <c r="E7" s="3">
        <v>7.7546296296296293E-4</v>
      </c>
      <c r="F7" s="4" t="str">
        <f>IF(E7&lt;=TIME(0,1,0),"Excelente",IF(E7&lt;=TIME(0,1,30),"Bom","Ruim"))</f>
        <v>Bom</v>
      </c>
    </row>
    <row r="8" spans="2:6">
      <c r="B8" s="24" t="s">
        <v>11</v>
      </c>
      <c r="C8" s="12" t="s">
        <v>7</v>
      </c>
      <c r="D8" s="23" t="s">
        <v>12</v>
      </c>
      <c r="E8" s="3">
        <v>6.5972222222222224E-4</v>
      </c>
      <c r="F8" s="4" t="str">
        <f t="shared" si="0"/>
        <v>Excelente</v>
      </c>
    </row>
    <row r="9" spans="2:6">
      <c r="B9" s="24" t="s">
        <v>13</v>
      </c>
      <c r="C9" s="12" t="s">
        <v>7</v>
      </c>
      <c r="D9" s="23" t="s">
        <v>12</v>
      </c>
      <c r="E9" s="3">
        <v>6.3657407407407413E-4</v>
      </c>
      <c r="F9" s="4" t="str">
        <f t="shared" si="0"/>
        <v>Excelente</v>
      </c>
    </row>
    <row r="10" spans="2:6">
      <c r="B10" s="24" t="s">
        <v>14</v>
      </c>
      <c r="C10" s="12" t="s">
        <v>7</v>
      </c>
      <c r="D10" s="23" t="s">
        <v>12</v>
      </c>
      <c r="E10" s="3">
        <v>6.3657407407407413E-4</v>
      </c>
      <c r="F10" s="4" t="str">
        <f t="shared" si="0"/>
        <v>Excelente</v>
      </c>
    </row>
    <row r="11" spans="2:6">
      <c r="B11" s="24" t="s">
        <v>15</v>
      </c>
      <c r="C11" s="12" t="s">
        <v>7</v>
      </c>
      <c r="D11" s="23" t="s">
        <v>10</v>
      </c>
      <c r="E11" s="3">
        <v>7.5231481481481482E-4</v>
      </c>
      <c r="F11" s="4" t="str">
        <f t="shared" si="0"/>
        <v>Bom</v>
      </c>
    </row>
    <row r="12" spans="2:6">
      <c r="B12" s="24" t="s">
        <v>16</v>
      </c>
      <c r="C12" s="12" t="s">
        <v>7</v>
      </c>
      <c r="D12" s="23" t="s">
        <v>12</v>
      </c>
      <c r="E12" s="3">
        <v>5.5555555555555556E-4</v>
      </c>
      <c r="F12" s="4" t="str">
        <f t="shared" si="0"/>
        <v>Excelente</v>
      </c>
    </row>
    <row r="13" spans="2:6" ht="15" customHeight="1">
      <c r="B13" s="24" t="s">
        <v>17</v>
      </c>
      <c r="C13" s="12" t="s">
        <v>7</v>
      </c>
      <c r="D13" s="23" t="s">
        <v>10</v>
      </c>
      <c r="E13" s="3">
        <v>6.8287037037037036E-4</v>
      </c>
      <c r="F13" s="4" t="str">
        <f t="shared" si="0"/>
        <v>Excelente</v>
      </c>
    </row>
    <row r="14" spans="2:6" ht="15" customHeight="1">
      <c r="B14" s="24" t="s">
        <v>18</v>
      </c>
      <c r="C14" s="12" t="s">
        <v>7</v>
      </c>
      <c r="D14" s="23" t="s">
        <v>10</v>
      </c>
      <c r="E14" s="3">
        <v>5.0925925925925921E-4</v>
      </c>
      <c r="F14" s="4" t="str">
        <f t="shared" si="0"/>
        <v>Excelente</v>
      </c>
    </row>
    <row r="15" spans="2:6" ht="15" customHeight="1">
      <c r="B15" s="24" t="s">
        <v>19</v>
      </c>
      <c r="C15" s="12" t="s">
        <v>7</v>
      </c>
      <c r="D15" s="23" t="s">
        <v>12</v>
      </c>
      <c r="E15" s="3">
        <v>5.7870370370370367E-4</v>
      </c>
      <c r="F15" s="4" t="str">
        <f t="shared" si="0"/>
        <v>Excelente</v>
      </c>
    </row>
    <row r="16" spans="2:6" ht="15" customHeight="1">
      <c r="B16" s="24" t="s">
        <v>20</v>
      </c>
      <c r="C16" s="12" t="s">
        <v>7</v>
      </c>
      <c r="D16" s="23" t="s">
        <v>12</v>
      </c>
      <c r="E16" s="3">
        <v>4.6296296296296298E-4</v>
      </c>
      <c r="F16" s="4" t="str">
        <f t="shared" si="0"/>
        <v>Excelente</v>
      </c>
    </row>
    <row r="17" spans="2:6">
      <c r="B17" s="24" t="s">
        <v>21</v>
      </c>
      <c r="C17" s="12" t="s">
        <v>7</v>
      </c>
      <c r="D17" s="23" t="s">
        <v>12</v>
      </c>
      <c r="E17" s="3">
        <v>6.2500000000000001E-4</v>
      </c>
      <c r="F17" s="4" t="str">
        <f t="shared" si="0"/>
        <v>Excelente</v>
      </c>
    </row>
    <row r="18" spans="2:6">
      <c r="B18" s="24" t="s">
        <v>22</v>
      </c>
      <c r="C18" s="12" t="s">
        <v>7</v>
      </c>
      <c r="D18" s="23" t="s">
        <v>12</v>
      </c>
      <c r="E18" s="3">
        <v>5.5555555555555556E-4</v>
      </c>
      <c r="F18" s="4" t="str">
        <f t="shared" si="0"/>
        <v>Excelente</v>
      </c>
    </row>
    <row r="19" spans="2:6">
      <c r="B19" s="24" t="s">
        <v>23</v>
      </c>
      <c r="C19" s="12" t="s">
        <v>7</v>
      </c>
      <c r="D19" s="23" t="s">
        <v>10</v>
      </c>
      <c r="E19" s="3">
        <v>7.0601851851851847E-4</v>
      </c>
      <c r="F19" s="4" t="str">
        <f t="shared" si="0"/>
        <v>Bom</v>
      </c>
    </row>
    <row r="20" spans="2:6">
      <c r="B20" s="24" t="s">
        <v>24</v>
      </c>
      <c r="C20" s="12" t="s">
        <v>7</v>
      </c>
      <c r="D20" s="23" t="s">
        <v>12</v>
      </c>
      <c r="E20" s="3">
        <v>9.837962962962962E-4</v>
      </c>
      <c r="F20" s="4" t="str">
        <f t="shared" si="0"/>
        <v>Bom</v>
      </c>
    </row>
    <row r="21" spans="2:6">
      <c r="B21" s="24" t="s">
        <v>25</v>
      </c>
      <c r="C21" s="12" t="s">
        <v>7</v>
      </c>
      <c r="D21" s="23" t="s">
        <v>12</v>
      </c>
      <c r="E21" s="3">
        <v>7.1759259259259259E-4</v>
      </c>
      <c r="F21" s="4" t="str">
        <f t="shared" si="0"/>
        <v>Bom</v>
      </c>
    </row>
    <row r="22" spans="2:6">
      <c r="B22" s="24" t="s">
        <v>26</v>
      </c>
      <c r="C22" s="12" t="s">
        <v>7</v>
      </c>
      <c r="D22" s="23" t="s">
        <v>12</v>
      </c>
      <c r="E22" s="3">
        <v>8.1018518518518516E-4</v>
      </c>
      <c r="F22" s="4" t="str">
        <f t="shared" si="0"/>
        <v>Bom</v>
      </c>
    </row>
    <row r="23" spans="2:6">
      <c r="B23" s="22" t="s">
        <v>27</v>
      </c>
      <c r="C23" s="12" t="s">
        <v>7</v>
      </c>
      <c r="D23" s="23" t="s">
        <v>12</v>
      </c>
      <c r="E23" s="3">
        <v>7.5231481481481482E-4</v>
      </c>
      <c r="F23" s="4" t="str">
        <f t="shared" si="0"/>
        <v>Bom</v>
      </c>
    </row>
    <row r="24" spans="2:6">
      <c r="B24" s="25" t="s">
        <v>28</v>
      </c>
      <c r="C24" s="12" t="s">
        <v>7</v>
      </c>
      <c r="D24" s="23" t="s">
        <v>12</v>
      </c>
      <c r="E24" s="3">
        <v>3.5879629629629629E-4</v>
      </c>
      <c r="F24" s="4" t="str">
        <f t="shared" si="0"/>
        <v>Excelente</v>
      </c>
    </row>
    <row r="25" spans="2:6">
      <c r="B25" s="24" t="s">
        <v>29</v>
      </c>
      <c r="C25" s="12" t="s">
        <v>7</v>
      </c>
      <c r="D25" s="23" t="s">
        <v>30</v>
      </c>
      <c r="E25" s="3">
        <v>4.9768518518518521E-4</v>
      </c>
      <c r="F25" s="4" t="str">
        <f t="shared" si="0"/>
        <v>Excelente</v>
      </c>
    </row>
    <row r="26" spans="2:6">
      <c r="B26" s="21" t="s">
        <v>31</v>
      </c>
      <c r="C26" s="13" t="s">
        <v>32</v>
      </c>
      <c r="D26" s="2" t="s">
        <v>12</v>
      </c>
      <c r="E26" s="3">
        <v>5.5555555555555556E-4</v>
      </c>
      <c r="F26" s="4" t="str">
        <f t="shared" si="0"/>
        <v>Excelente</v>
      </c>
    </row>
    <row r="27" spans="2:6">
      <c r="B27" s="21" t="s">
        <v>33</v>
      </c>
      <c r="C27" s="13" t="s">
        <v>32</v>
      </c>
      <c r="D27" s="1" t="s">
        <v>12</v>
      </c>
      <c r="E27" s="3">
        <v>6.8287037037037036E-4</v>
      </c>
      <c r="F27" s="4" t="str">
        <f t="shared" si="0"/>
        <v>Excelente</v>
      </c>
    </row>
    <row r="28" spans="2:6">
      <c r="B28" s="21" t="s">
        <v>34</v>
      </c>
      <c r="C28" s="13" t="s">
        <v>32</v>
      </c>
      <c r="D28" s="2" t="s">
        <v>12</v>
      </c>
      <c r="E28" s="3">
        <v>5.0925925925925921E-4</v>
      </c>
      <c r="F28" s="4" t="str">
        <f t="shared" si="0"/>
        <v>Excelente</v>
      </c>
    </row>
    <row r="29" spans="2:6">
      <c r="B29" s="21" t="s">
        <v>35</v>
      </c>
      <c r="C29" s="13" t="s">
        <v>32</v>
      </c>
      <c r="D29" s="2" t="s">
        <v>12</v>
      </c>
      <c r="E29" s="3">
        <v>5.7870370370370367E-4</v>
      </c>
      <c r="F29" s="4" t="str">
        <f t="shared" si="0"/>
        <v>Excelente</v>
      </c>
    </row>
    <row r="30" spans="2:6">
      <c r="B30" s="21" t="s">
        <v>36</v>
      </c>
      <c r="C30" s="13" t="s">
        <v>32</v>
      </c>
      <c r="D30" s="2" t="s">
        <v>37</v>
      </c>
      <c r="E30" s="3">
        <v>4.6296296296296298E-4</v>
      </c>
      <c r="F30" s="4" t="str">
        <f t="shared" si="0"/>
        <v>Excelente</v>
      </c>
    </row>
    <row r="31" spans="2:6">
      <c r="B31" s="21" t="s">
        <v>38</v>
      </c>
      <c r="C31" s="13" t="s">
        <v>32</v>
      </c>
      <c r="D31" s="2" t="s">
        <v>12</v>
      </c>
      <c r="E31" s="3">
        <v>6.2500000000000001E-4</v>
      </c>
      <c r="F31" s="4" t="str">
        <f t="shared" si="0"/>
        <v>Excelente</v>
      </c>
    </row>
    <row r="32" spans="2:6">
      <c r="B32" s="21" t="s">
        <v>39</v>
      </c>
      <c r="C32" s="13" t="s">
        <v>32</v>
      </c>
      <c r="D32" s="2" t="s">
        <v>12</v>
      </c>
      <c r="E32" s="3">
        <v>5.5555555555555556E-4</v>
      </c>
      <c r="F32" s="4" t="str">
        <f t="shared" si="0"/>
        <v>Excelente</v>
      </c>
    </row>
    <row r="33" spans="2:6">
      <c r="B33" s="21" t="s">
        <v>40</v>
      </c>
      <c r="C33" s="13" t="s">
        <v>32</v>
      </c>
      <c r="D33" s="2" t="s">
        <v>41</v>
      </c>
      <c r="E33" s="3">
        <v>3.5879629629629629E-4</v>
      </c>
      <c r="F33" s="4" t="str">
        <f t="shared" si="0"/>
        <v>Excelente</v>
      </c>
    </row>
    <row r="34" spans="2:6">
      <c r="B34" s="21" t="s">
        <v>42</v>
      </c>
      <c r="C34" s="13" t="s">
        <v>32</v>
      </c>
      <c r="D34" s="2" t="s">
        <v>12</v>
      </c>
      <c r="E34" s="3">
        <v>4.9768518518518521E-4</v>
      </c>
      <c r="F34" s="4" t="str">
        <f t="shared" si="0"/>
        <v>Excelente</v>
      </c>
    </row>
    <row r="35" spans="2:6">
      <c r="B35" s="21" t="s">
        <v>43</v>
      </c>
      <c r="C35" s="13" t="s">
        <v>32</v>
      </c>
      <c r="D35" s="2" t="s">
        <v>37</v>
      </c>
      <c r="E35" s="3">
        <v>5.5555555555555556E-4</v>
      </c>
      <c r="F35" s="4" t="str">
        <f t="shared" si="0"/>
        <v>Excelente</v>
      </c>
    </row>
    <row r="36" spans="2:6">
      <c r="B36" s="21" t="s">
        <v>44</v>
      </c>
      <c r="C36" s="13" t="s">
        <v>32</v>
      </c>
      <c r="D36" s="2" t="s">
        <v>45</v>
      </c>
      <c r="E36" s="3">
        <v>6.8287037037037036E-4</v>
      </c>
      <c r="F36" s="4" t="str">
        <f t="shared" si="0"/>
        <v>Excelente</v>
      </c>
    </row>
    <row r="37" spans="2:6">
      <c r="B37" s="21" t="s">
        <v>46</v>
      </c>
      <c r="C37" s="13" t="s">
        <v>32</v>
      </c>
      <c r="D37" s="1" t="s">
        <v>37</v>
      </c>
      <c r="E37" s="3">
        <v>5.0925925925925921E-4</v>
      </c>
      <c r="F37" s="4" t="str">
        <f t="shared" si="0"/>
        <v>Excelente</v>
      </c>
    </row>
    <row r="38" spans="2:6">
      <c r="B38" s="21" t="s">
        <v>47</v>
      </c>
      <c r="C38" s="13" t="s">
        <v>32</v>
      </c>
      <c r="D38" s="2" t="s">
        <v>48</v>
      </c>
      <c r="E38" s="3">
        <v>6.8287037037037036E-4</v>
      </c>
      <c r="F38" s="4" t="str">
        <f t="shared" ref="F38:F74" si="1">IF(E38&lt;=TIME(0,1,0),"Excelente",IF(E38&lt;=TIME(0,1,30),"Bom","Ruim"))</f>
        <v>Excelente</v>
      </c>
    </row>
    <row r="39" spans="2:6">
      <c r="B39" s="21" t="s">
        <v>49</v>
      </c>
      <c r="C39" s="13" t="s">
        <v>32</v>
      </c>
      <c r="D39" s="2" t="s">
        <v>50</v>
      </c>
      <c r="E39" s="3">
        <v>6.4814814814814813E-4</v>
      </c>
      <c r="F39" s="4" t="str">
        <f t="shared" si="1"/>
        <v>Excelente</v>
      </c>
    </row>
    <row r="40" spans="2:6">
      <c r="B40" s="21" t="s">
        <v>51</v>
      </c>
      <c r="C40" s="13" t="s">
        <v>32</v>
      </c>
      <c r="D40" s="2" t="s">
        <v>12</v>
      </c>
      <c r="E40" s="3">
        <v>8.1018518518518516E-4</v>
      </c>
      <c r="F40" s="4" t="str">
        <f t="shared" si="1"/>
        <v>Bom</v>
      </c>
    </row>
    <row r="41" spans="2:6">
      <c r="B41" s="21" t="s">
        <v>52</v>
      </c>
      <c r="C41" s="13" t="s">
        <v>32</v>
      </c>
      <c r="D41" s="1" t="s">
        <v>12</v>
      </c>
      <c r="E41" s="3">
        <v>5.6712962962962967E-4</v>
      </c>
      <c r="F41" s="4" t="str">
        <f t="shared" si="1"/>
        <v>Excelente</v>
      </c>
    </row>
    <row r="42" spans="2:6">
      <c r="B42" s="24" t="s">
        <v>53</v>
      </c>
      <c r="C42" s="29" t="s">
        <v>54</v>
      </c>
      <c r="D42" s="23" t="s">
        <v>50</v>
      </c>
      <c r="E42" s="3">
        <v>5.0925925925925921E-4</v>
      </c>
      <c r="F42" s="4" t="str">
        <f t="shared" ref="F42:F62" si="2">IF(E42&lt;=TIME(0,1,0),"Excelente",IF(E42&lt;=TIME(0,1,30),"Bom","Ruim"))</f>
        <v>Excelente</v>
      </c>
    </row>
    <row r="43" spans="2:6">
      <c r="B43" s="24" t="s">
        <v>55</v>
      </c>
      <c r="C43" s="29" t="s">
        <v>54</v>
      </c>
      <c r="D43" s="23" t="s">
        <v>48</v>
      </c>
      <c r="E43" s="3">
        <v>6.2500000000000001E-4</v>
      </c>
      <c r="F43" s="4" t="str">
        <f t="shared" si="2"/>
        <v>Excelente</v>
      </c>
    </row>
    <row r="44" spans="2:6">
      <c r="B44" s="24" t="s">
        <v>56</v>
      </c>
      <c r="C44" s="29" t="s">
        <v>54</v>
      </c>
      <c r="D44" s="23" t="s">
        <v>41</v>
      </c>
      <c r="E44" s="3">
        <v>6.7129629629629625E-4</v>
      </c>
      <c r="F44" s="4" t="str">
        <f t="shared" si="2"/>
        <v>Excelente</v>
      </c>
    </row>
    <row r="45" spans="2:6">
      <c r="B45" s="24" t="s">
        <v>57</v>
      </c>
      <c r="C45" s="29" t="s">
        <v>54</v>
      </c>
      <c r="D45" s="23" t="s">
        <v>37</v>
      </c>
      <c r="E45" s="3">
        <v>6.3657407407407413E-4</v>
      </c>
      <c r="F45" s="4" t="str">
        <f t="shared" si="2"/>
        <v>Excelente</v>
      </c>
    </row>
    <row r="46" spans="2:6">
      <c r="B46" s="24" t="s">
        <v>58</v>
      </c>
      <c r="C46" s="29" t="s">
        <v>54</v>
      </c>
      <c r="D46" s="23" t="s">
        <v>37</v>
      </c>
      <c r="E46" s="3">
        <v>6.4814814814814813E-4</v>
      </c>
      <c r="F46" s="4" t="str">
        <f t="shared" si="2"/>
        <v>Excelente</v>
      </c>
    </row>
    <row r="47" spans="2:6">
      <c r="B47" s="24" t="s">
        <v>59</v>
      </c>
      <c r="C47" s="29" t="s">
        <v>54</v>
      </c>
      <c r="D47" s="23" t="s">
        <v>37</v>
      </c>
      <c r="E47" s="3">
        <v>5.7870370370370367E-4</v>
      </c>
      <c r="F47" s="4" t="str">
        <f t="shared" si="2"/>
        <v>Excelente</v>
      </c>
    </row>
    <row r="48" spans="2:6">
      <c r="B48" s="24" t="s">
        <v>60</v>
      </c>
      <c r="C48" s="29" t="s">
        <v>54</v>
      </c>
      <c r="D48" s="23" t="s">
        <v>37</v>
      </c>
      <c r="E48" s="3">
        <v>8.9120370370370373E-4</v>
      </c>
      <c r="F48" s="4" t="str">
        <f t="shared" si="2"/>
        <v>Bom</v>
      </c>
    </row>
    <row r="49" spans="2:6">
      <c r="B49" s="24" t="s">
        <v>61</v>
      </c>
      <c r="C49" s="29" t="s">
        <v>54</v>
      </c>
      <c r="D49" s="23" t="s">
        <v>37</v>
      </c>
      <c r="E49" s="3">
        <v>6.8287037037037036E-4</v>
      </c>
      <c r="F49" s="4" t="str">
        <f t="shared" si="2"/>
        <v>Excelente</v>
      </c>
    </row>
    <row r="50" spans="2:6">
      <c r="B50" s="24" t="s">
        <v>62</v>
      </c>
      <c r="C50" s="29" t="s">
        <v>54</v>
      </c>
      <c r="D50" s="23" t="s">
        <v>37</v>
      </c>
      <c r="E50" s="3">
        <v>6.4814814814814813E-4</v>
      </c>
      <c r="F50" s="4" t="str">
        <f t="shared" si="2"/>
        <v>Excelente</v>
      </c>
    </row>
    <row r="51" spans="2:6">
      <c r="B51" s="26" t="s">
        <v>63</v>
      </c>
      <c r="C51" s="29" t="s">
        <v>54</v>
      </c>
      <c r="D51" s="23" t="s">
        <v>45</v>
      </c>
      <c r="E51" s="3">
        <v>4.6296296296296298E-4</v>
      </c>
      <c r="F51" s="4" t="str">
        <f t="shared" si="2"/>
        <v>Excelente</v>
      </c>
    </row>
    <row r="52" spans="2:6">
      <c r="B52" s="27" t="s">
        <v>64</v>
      </c>
      <c r="C52" s="29" t="s">
        <v>54</v>
      </c>
      <c r="D52" s="23" t="s">
        <v>45</v>
      </c>
      <c r="E52" s="3">
        <v>6.018518518518519E-4</v>
      </c>
      <c r="F52" s="4" t="str">
        <f t="shared" si="2"/>
        <v>Excelente</v>
      </c>
    </row>
    <row r="53" spans="2:6">
      <c r="B53" s="21" t="s">
        <v>65</v>
      </c>
      <c r="C53" s="29" t="s">
        <v>54</v>
      </c>
      <c r="D53" s="23" t="s">
        <v>12</v>
      </c>
      <c r="E53" s="3">
        <v>6.8287037037037036E-4</v>
      </c>
      <c r="F53" s="4" t="str">
        <f t="shared" si="2"/>
        <v>Excelente</v>
      </c>
    </row>
    <row r="54" spans="2:6">
      <c r="B54" s="21" t="s">
        <v>66</v>
      </c>
      <c r="C54" s="29" t="s">
        <v>54</v>
      </c>
      <c r="D54" s="23" t="s">
        <v>12</v>
      </c>
      <c r="E54" s="3">
        <v>6.8287037037037036E-4</v>
      </c>
      <c r="F54" s="4" t="str">
        <f t="shared" si="2"/>
        <v>Excelente</v>
      </c>
    </row>
    <row r="55" spans="2:6">
      <c r="B55" s="21" t="s">
        <v>67</v>
      </c>
      <c r="C55" s="30" t="s">
        <v>54</v>
      </c>
      <c r="D55" s="23" t="s">
        <v>12</v>
      </c>
      <c r="E55" s="3">
        <v>6.5972222222222224E-4</v>
      </c>
      <c r="F55" s="4" t="str">
        <f t="shared" si="2"/>
        <v>Excelente</v>
      </c>
    </row>
    <row r="56" spans="2:6">
      <c r="B56" s="21" t="s">
        <v>68</v>
      </c>
      <c r="C56" s="30" t="s">
        <v>54</v>
      </c>
      <c r="D56" s="28" t="s">
        <v>12</v>
      </c>
      <c r="E56" s="3">
        <v>6.3657407407407413E-4</v>
      </c>
      <c r="F56" s="4" t="str">
        <f t="shared" si="2"/>
        <v>Excelente</v>
      </c>
    </row>
    <row r="57" spans="2:6">
      <c r="B57" s="21" t="s">
        <v>69</v>
      </c>
      <c r="C57" s="29" t="s">
        <v>54</v>
      </c>
      <c r="D57" s="23" t="s">
        <v>12</v>
      </c>
      <c r="E57" s="3">
        <v>6.7129629629629625E-4</v>
      </c>
      <c r="F57" s="4" t="str">
        <f t="shared" si="2"/>
        <v>Excelente</v>
      </c>
    </row>
    <row r="58" spans="2:6">
      <c r="B58" s="21" t="s">
        <v>70</v>
      </c>
      <c r="C58" s="29" t="s">
        <v>54</v>
      </c>
      <c r="D58" s="23" t="s">
        <v>12</v>
      </c>
      <c r="E58" s="3">
        <v>5.7870370370370367E-4</v>
      </c>
      <c r="F58" s="4" t="str">
        <f t="shared" si="2"/>
        <v>Excelente</v>
      </c>
    </row>
    <row r="59" spans="2:6">
      <c r="B59" s="21" t="s">
        <v>71</v>
      </c>
      <c r="C59" s="29" t="s">
        <v>54</v>
      </c>
      <c r="D59" s="23" t="s">
        <v>12</v>
      </c>
      <c r="E59" s="3">
        <v>6.3657407407407413E-4</v>
      </c>
      <c r="F59" s="4" t="str">
        <f t="shared" si="2"/>
        <v>Excelente</v>
      </c>
    </row>
    <row r="60" spans="2:6">
      <c r="B60" s="21" t="s">
        <v>72</v>
      </c>
      <c r="C60" s="29" t="s">
        <v>54</v>
      </c>
      <c r="D60" s="23" t="s">
        <v>12</v>
      </c>
      <c r="E60" s="3">
        <v>6.018518518518519E-4</v>
      </c>
      <c r="F60" s="4" t="str">
        <f t="shared" si="2"/>
        <v>Excelente</v>
      </c>
    </row>
    <row r="61" spans="2:6">
      <c r="B61" s="21" t="s">
        <v>73</v>
      </c>
      <c r="C61" s="29" t="s">
        <v>54</v>
      </c>
      <c r="D61" s="23" t="s">
        <v>12</v>
      </c>
      <c r="E61" s="3">
        <v>6.134259259259259E-4</v>
      </c>
      <c r="F61" s="4" t="str">
        <f t="shared" si="2"/>
        <v>Excelente</v>
      </c>
    </row>
    <row r="62" spans="2:6">
      <c r="B62" s="21" t="s">
        <v>74</v>
      </c>
      <c r="C62" s="29" t="s">
        <v>54</v>
      </c>
      <c r="D62" s="23" t="s">
        <v>12</v>
      </c>
      <c r="E62" s="3">
        <v>6.7129629629629625E-4</v>
      </c>
      <c r="F62" s="4" t="str">
        <f t="shared" si="2"/>
        <v>Excelente</v>
      </c>
    </row>
    <row r="63" spans="2:6">
      <c r="B63" s="21" t="s">
        <v>75</v>
      </c>
      <c r="C63" s="29" t="s">
        <v>54</v>
      </c>
      <c r="D63" s="23" t="s">
        <v>12</v>
      </c>
      <c r="E63" s="3">
        <v>6.4814814814814813E-4</v>
      </c>
      <c r="F63" s="4" t="str">
        <f t="shared" si="1"/>
        <v>Excelente</v>
      </c>
    </row>
    <row r="64" spans="2:6">
      <c r="B64" s="21" t="s">
        <v>76</v>
      </c>
      <c r="C64" s="29" t="s">
        <v>54</v>
      </c>
      <c r="D64" s="23" t="s">
        <v>12</v>
      </c>
      <c r="E64" s="3">
        <v>6.8287037037037036E-4</v>
      </c>
      <c r="F64" s="4" t="str">
        <f t="shared" si="1"/>
        <v>Excelente</v>
      </c>
    </row>
    <row r="65" spans="2:6">
      <c r="B65" s="21" t="s">
        <v>77</v>
      </c>
      <c r="C65" s="11" t="s">
        <v>78</v>
      </c>
      <c r="D65" s="1" t="s">
        <v>45</v>
      </c>
      <c r="E65" s="3">
        <v>4.6296296296296298E-4</v>
      </c>
      <c r="F65" s="4" t="str">
        <f>IF(E65&lt;=TIME(0,1,0),"Excelente",IF(E65&lt;=TIME(0,1,30),"Bom","Ruim"))</f>
        <v>Excelente</v>
      </c>
    </row>
    <row r="66" spans="2:6">
      <c r="B66" s="21" t="s">
        <v>79</v>
      </c>
      <c r="C66" s="11" t="s">
        <v>78</v>
      </c>
      <c r="D66" s="1" t="s">
        <v>41</v>
      </c>
      <c r="E66" s="3">
        <v>6.018518518518519E-4</v>
      </c>
      <c r="F66" s="4" t="str">
        <f t="shared" si="1"/>
        <v>Excelente</v>
      </c>
    </row>
    <row r="67" spans="2:6">
      <c r="B67" s="21" t="s">
        <v>80</v>
      </c>
      <c r="C67" s="11" t="s">
        <v>78</v>
      </c>
      <c r="D67" s="1" t="s">
        <v>12</v>
      </c>
      <c r="E67" s="3">
        <v>6.8287037037037036E-4</v>
      </c>
      <c r="F67" s="4" t="str">
        <f t="shared" si="1"/>
        <v>Excelente</v>
      </c>
    </row>
    <row r="68" spans="2:6">
      <c r="B68" s="21" t="s">
        <v>81</v>
      </c>
      <c r="C68" s="11" t="s">
        <v>78</v>
      </c>
      <c r="D68" s="1" t="s">
        <v>37</v>
      </c>
      <c r="E68" s="3">
        <v>6.8287037037037036E-4</v>
      </c>
      <c r="F68" s="4" t="str">
        <f t="shared" si="1"/>
        <v>Excelente</v>
      </c>
    </row>
    <row r="69" spans="2:6">
      <c r="B69" s="21" t="s">
        <v>82</v>
      </c>
      <c r="C69" s="11" t="s">
        <v>78</v>
      </c>
      <c r="D69" s="1" t="s">
        <v>12</v>
      </c>
      <c r="E69" s="3">
        <v>6.5972222222222224E-4</v>
      </c>
      <c r="F69" s="4" t="str">
        <f t="shared" si="1"/>
        <v>Excelente</v>
      </c>
    </row>
    <row r="70" spans="2:6">
      <c r="B70" s="21" t="s">
        <v>83</v>
      </c>
      <c r="C70" s="11" t="s">
        <v>78</v>
      </c>
      <c r="D70" s="1" t="s">
        <v>12</v>
      </c>
      <c r="E70" s="3">
        <v>6.3657407407407413E-4</v>
      </c>
      <c r="F70" s="4" t="str">
        <f t="shared" si="1"/>
        <v>Excelente</v>
      </c>
    </row>
    <row r="71" spans="2:6">
      <c r="B71" s="21" t="s">
        <v>84</v>
      </c>
      <c r="C71" s="11" t="s">
        <v>78</v>
      </c>
      <c r="D71" s="1" t="s">
        <v>12</v>
      </c>
      <c r="E71" s="3">
        <v>6.7129629629629625E-4</v>
      </c>
      <c r="F71" s="4" t="str">
        <f t="shared" si="1"/>
        <v>Excelente</v>
      </c>
    </row>
    <row r="72" spans="2:6">
      <c r="B72" s="21" t="s">
        <v>85</v>
      </c>
      <c r="C72" s="11" t="s">
        <v>78</v>
      </c>
      <c r="D72" s="1" t="s">
        <v>48</v>
      </c>
      <c r="E72" s="3">
        <v>5.7870370370370367E-4</v>
      </c>
      <c r="F72" s="4" t="str">
        <f t="shared" si="1"/>
        <v>Excelente</v>
      </c>
    </row>
    <row r="73" spans="2:6">
      <c r="B73" s="21" t="s">
        <v>86</v>
      </c>
      <c r="C73" s="11" t="s">
        <v>78</v>
      </c>
      <c r="D73" s="1" t="s">
        <v>12</v>
      </c>
      <c r="E73" s="3">
        <v>6.3657407407407413E-4</v>
      </c>
      <c r="F73" s="4" t="str">
        <f t="shared" si="1"/>
        <v>Excelente</v>
      </c>
    </row>
    <row r="74" spans="2:6">
      <c r="B74" s="21" t="s">
        <v>87</v>
      </c>
      <c r="C74" s="11" t="s">
        <v>78</v>
      </c>
      <c r="D74" s="1" t="s">
        <v>12</v>
      </c>
      <c r="E74" s="3">
        <v>6.018518518518519E-4</v>
      </c>
      <c r="F74" s="4" t="str">
        <f t="shared" si="1"/>
        <v>Excelente</v>
      </c>
    </row>
    <row r="75" spans="2:6">
      <c r="B75" s="21" t="s">
        <v>88</v>
      </c>
      <c r="C75" s="11" t="s">
        <v>78</v>
      </c>
      <c r="D75" s="1" t="s">
        <v>45</v>
      </c>
      <c r="E75" s="3">
        <v>6.8287037037037036E-4</v>
      </c>
      <c r="F75" s="4" t="str">
        <f t="shared" ref="F75:F79" si="3">IF(E75&lt;=TIME(0,1,0),"Excelente",IF(E75&lt;=TIME(0,1,30),"Bom","Ruim"))</f>
        <v>Excelente</v>
      </c>
    </row>
    <row r="76" spans="2:6">
      <c r="B76" s="21" t="s">
        <v>89</v>
      </c>
      <c r="C76" s="11" t="s">
        <v>78</v>
      </c>
      <c r="D76" s="1" t="s">
        <v>37</v>
      </c>
      <c r="E76" s="3">
        <v>6.5972222222222224E-4</v>
      </c>
      <c r="F76" s="4" t="str">
        <f t="shared" si="3"/>
        <v>Excelente</v>
      </c>
    </row>
    <row r="77" spans="2:6">
      <c r="B77" s="21" t="s">
        <v>90</v>
      </c>
      <c r="C77" s="11" t="s">
        <v>78</v>
      </c>
      <c r="D77" s="1" t="s">
        <v>12</v>
      </c>
      <c r="E77" s="3">
        <v>6.3657407407407413E-4</v>
      </c>
      <c r="F77" s="4" t="str">
        <f t="shared" si="3"/>
        <v>Excelente</v>
      </c>
    </row>
    <row r="78" spans="2:6">
      <c r="B78" s="21" t="s">
        <v>91</v>
      </c>
      <c r="C78" s="11" t="s">
        <v>78</v>
      </c>
      <c r="D78" s="1" t="s">
        <v>12</v>
      </c>
      <c r="E78" s="3">
        <v>6.7129629629629625E-4</v>
      </c>
      <c r="F78" s="4" t="str">
        <f t="shared" si="3"/>
        <v>Excelente</v>
      </c>
    </row>
    <row r="79" spans="2:6">
      <c r="B79" s="21" t="s">
        <v>92</v>
      </c>
      <c r="C79" s="11" t="s">
        <v>78</v>
      </c>
      <c r="D79" s="1" t="s">
        <v>37</v>
      </c>
      <c r="E79" s="3">
        <v>7.6388888888888893E-4</v>
      </c>
      <c r="F79" s="4" t="str">
        <f t="shared" si="3"/>
        <v>Bom</v>
      </c>
    </row>
    <row r="80" spans="2:6" ht="15.75" thickBot="1"/>
    <row r="81" spans="3:4">
      <c r="C81" s="32" t="s">
        <v>93</v>
      </c>
      <c r="D81" s="33"/>
    </row>
    <row r="82" spans="3:4">
      <c r="C82" s="14" t="s">
        <v>94</v>
      </c>
      <c r="D82" s="15" t="s">
        <v>95</v>
      </c>
    </row>
    <row r="83" spans="3:4" ht="15.75" thickBot="1">
      <c r="C83" s="16">
        <f>COUNTIF(F6:F79,"Excelente")</f>
        <v>64</v>
      </c>
      <c r="D83" s="17">
        <f>COUNTIF(F6:F79,"Bom")</f>
        <v>10</v>
      </c>
    </row>
  </sheetData>
  <autoFilter ref="B5:F79" xr:uid="{00000000-0009-0000-0000-000000000000}">
    <sortState xmlns:xlrd2="http://schemas.microsoft.com/office/spreadsheetml/2017/richdata2" ref="B6:F79">
      <sortCondition ref="D5:D79"/>
    </sortState>
  </autoFilter>
  <mergeCells count="2">
    <mergeCell ref="B1:F4"/>
    <mergeCell ref="C81:D81"/>
  </mergeCells>
  <conditionalFormatting sqref="F6:F79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workbookViewId="0">
      <selection activeCell="C8" sqref="C8"/>
    </sheetView>
  </sheetViews>
  <sheetFormatPr defaultRowHeight="15"/>
  <sheetData>
    <row r="2" spans="2:4">
      <c r="B2" s="5" t="s">
        <v>96</v>
      </c>
      <c r="C2" s="5">
        <f>SUM(C3,C4)</f>
        <v>74</v>
      </c>
      <c r="D2" s="6" t="s">
        <v>97</v>
      </c>
    </row>
    <row r="3" spans="2:4">
      <c r="B3" s="9" t="s">
        <v>94</v>
      </c>
      <c r="C3" s="9">
        <f>MAIO!C83</f>
        <v>64</v>
      </c>
      <c r="D3" s="10">
        <f>C3/C2</f>
        <v>0.86486486486486491</v>
      </c>
    </row>
    <row r="4" spans="2:4">
      <c r="B4" s="7" t="s">
        <v>95</v>
      </c>
      <c r="C4" s="7">
        <f>MAIO!D83</f>
        <v>10</v>
      </c>
      <c r="D4" s="8">
        <f>C4/C2</f>
        <v>0.13513513513513514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D4E7E3-39FB-4F8B-B6E9-496FD2194790}"/>
</file>

<file path=customXml/itemProps2.xml><?xml version="1.0" encoding="utf-8"?>
<ds:datastoreItem xmlns:ds="http://schemas.openxmlformats.org/officeDocument/2006/customXml" ds:itemID="{022B5550-31B1-4FF0-BD14-3758CDFB3056}"/>
</file>

<file path=customXml/itemProps3.xml><?xml version="1.0" encoding="utf-8"?>
<ds:datastoreItem xmlns:ds="http://schemas.openxmlformats.org/officeDocument/2006/customXml" ds:itemID="{90EA5D59-76B6-42EF-A2CD-6DCBB38EE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2026-05-26T10:58:43Z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