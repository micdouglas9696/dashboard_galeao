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7"/>
  <workbookPr/>
  <mc:AlternateContent xmlns:mc="http://schemas.openxmlformats.org/markup-compatibility/2006">
    <mc:Choice Requires="x15">
      <x15ac:absPath xmlns:x15ac="http://schemas.microsoft.com/office/spreadsheetml/2010/11/ac" url="C:\Users\sci.gig\Desktop\"/>
    </mc:Choice>
  </mc:AlternateContent>
  <xr:revisionPtr revIDLastSave="49" documentId="8_{104307B3-C379-40C6-BF77-6B6C4E02FE94}" xr6:coauthVersionLast="47" xr6:coauthVersionMax="47" xr10:uidLastSave="{77A219BA-4779-4FCE-B16D-A55DD7ED88FA}"/>
  <bookViews>
    <workbookView xWindow="-120" yWindow="-120" windowWidth="20730" windowHeight="11040" xr2:uid="{00000000-000D-0000-FFFF-FFFF00000000}"/>
  </bookViews>
  <sheets>
    <sheet name="ABRIL" sheetId="3" r:id="rId1"/>
    <sheet name="Gráfico" sheetId="4" r:id="rId2"/>
  </sheets>
  <definedNames>
    <definedName name="_xlnm._FilterDatabase" localSheetId="0" hidden="1">ABRIL!$A$5:$E$76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4" i="3" l="1"/>
  <c r="E65" i="3"/>
  <c r="E66" i="3"/>
  <c r="E67" i="3"/>
  <c r="E68" i="3"/>
  <c r="E69" i="3"/>
  <c r="E70" i="3"/>
  <c r="E71" i="3"/>
  <c r="E72" i="3"/>
  <c r="E73" i="3"/>
  <c r="E74" i="3"/>
  <c r="E75" i="3"/>
  <c r="E76" i="3"/>
  <c r="E62" i="3"/>
  <c r="E63" i="3"/>
  <c r="E35" i="3"/>
  <c r="E36" i="3"/>
  <c r="E37" i="3"/>
  <c r="E38" i="3"/>
  <c r="E23" i="3"/>
  <c r="E24" i="3"/>
  <c r="E25" i="3"/>
  <c r="E26" i="3"/>
  <c r="E27" i="3"/>
  <c r="E28" i="3"/>
  <c r="E29" i="3"/>
  <c r="E30" i="3"/>
  <c r="E31" i="3"/>
  <c r="E32" i="3"/>
  <c r="E33" i="3"/>
  <c r="E34" i="3"/>
  <c r="E56" i="3"/>
  <c r="E57" i="3"/>
  <c r="E58" i="3"/>
  <c r="E59" i="3"/>
  <c r="E60" i="3"/>
  <c r="E61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12" i="3"/>
  <c r="E8" i="3"/>
  <c r="E16" i="3"/>
  <c r="E9" i="3"/>
  <c r="E17" i="3"/>
  <c r="E6" i="3" l="1"/>
  <c r="E7" i="3"/>
  <c r="E10" i="3"/>
  <c r="E11" i="3"/>
  <c r="E13" i="3"/>
  <c r="E14" i="3"/>
  <c r="E15" i="3"/>
  <c r="E18" i="3"/>
  <c r="E19" i="3"/>
  <c r="E20" i="3"/>
  <c r="E21" i="3"/>
  <c r="E22" i="3"/>
  <c r="B80" i="3" l="1"/>
  <c r="C3" i="4" s="1"/>
  <c r="C80" i="3"/>
  <c r="C4" i="4" s="1"/>
  <c r="C2" i="4" l="1"/>
  <c r="D4" i="4" s="1"/>
  <c r="D3" i="4" l="1"/>
</calcChain>
</file>

<file path=xl/sharedStrings.xml><?xml version="1.0" encoding="utf-8"?>
<sst xmlns="http://schemas.openxmlformats.org/spreadsheetml/2006/main" count="226" uniqueCount="94">
  <si>
    <t>AFERIÇÃO DE TEMPO RESPOSTA TP/EPR ABRIL DE 2026</t>
  </si>
  <si>
    <t>NOME</t>
  </si>
  <si>
    <t>EQUIPE</t>
  </si>
  <si>
    <t>Função</t>
  </si>
  <si>
    <t>ABRIL</t>
  </si>
  <si>
    <t>RESULTADO</t>
  </si>
  <si>
    <t>BRUNO DOS SANTOS LEAL BLAS</t>
  </si>
  <si>
    <t>ALFA</t>
  </si>
  <si>
    <t>BA-LR</t>
  </si>
  <si>
    <t>RAFAEL RIBEIRO DE SIQUEIRA</t>
  </si>
  <si>
    <t>BA-MC</t>
  </si>
  <si>
    <t>LUAN ALVES DOS SANTOS</t>
  </si>
  <si>
    <t>BA2</t>
  </si>
  <si>
    <t>ALESSANDRO DA SILVA TEIXEIRA</t>
  </si>
  <si>
    <t>MAICON NEI ROCHA DA SILVA</t>
  </si>
  <si>
    <t>CARLOS ALBERTO BARBOSA DA SILVA</t>
  </si>
  <si>
    <t>ALESSANDRO CARDOSO DE OLIVEIRA</t>
  </si>
  <si>
    <t>MICHELL SOARES DA CONCEIÇÃO</t>
  </si>
  <si>
    <t>YURE MALLET FONSECA</t>
  </si>
  <si>
    <t>PEDRO HENRIQUE TEIXEIRA DA SILVA</t>
  </si>
  <si>
    <t>HENRIQUE DE PINNA GOMES BRITTO</t>
  </si>
  <si>
    <t>RENATO CARREIRO MARTINS</t>
  </si>
  <si>
    <t>GESSILDO DA SILVA SOARES</t>
  </si>
  <si>
    <t>PAULO ROBERTO FERNANDES</t>
  </si>
  <si>
    <t>GERSON DA SILVA FERREIRA</t>
  </si>
  <si>
    <t>LUIZ FERNANDO VIEIRA PEREIRA E SILVA</t>
  </si>
  <si>
    <t>LUCIANO FERREIRA LOPES WANDERLEY</t>
  </si>
  <si>
    <t>ALAN RICARDO ALMEIDA SA SEVERO</t>
  </si>
  <si>
    <t>BRAVO</t>
  </si>
  <si>
    <t>ALBERT FERREIRA DA SILVA XARIFA</t>
  </si>
  <si>
    <t>ELIOMAR AGOSTINHO DA SILVA</t>
  </si>
  <si>
    <t>FABIO JUNIOR SANTOS BARCELLOS</t>
  </si>
  <si>
    <t>FERNANDO BATISTA DO NASCIMENTO</t>
  </si>
  <si>
    <t>BA MC</t>
  </si>
  <si>
    <t>GABRIEL FELIX DOS SANTOS LACOPO</t>
  </si>
  <si>
    <t>LEANDRO MENDES BARBOSA</t>
  </si>
  <si>
    <t>LEANDRO RODRIGUES DA SILVA</t>
  </si>
  <si>
    <t>BA MA</t>
  </si>
  <si>
    <t>MARCELO LEANDRO DE OLIVEIRA COUTINHO</t>
  </si>
  <si>
    <t>MARCOS VINICIUS SANTOS FIDELIS</t>
  </si>
  <si>
    <t>MAURÍCIO DE SOUZA OLIVEIRA</t>
  </si>
  <si>
    <t>BA RE</t>
  </si>
  <si>
    <t>PAULO RICARDO RIBEIRO KHATE E BRITO</t>
  </si>
  <si>
    <t>RAFAEL LUIZ DE ALMEIDA SOUZA</t>
  </si>
  <si>
    <t>BA LR</t>
  </si>
  <si>
    <t>RAMON SIEIA MEDEIROS</t>
  </si>
  <si>
    <t>BA CE</t>
  </si>
  <si>
    <t>SANDRO RAMOS PRADO</t>
  </si>
  <si>
    <t>YAGO ARINO DA ROCHA</t>
  </si>
  <si>
    <t>WENDEL DE OLIVEIRA SOARES</t>
  </si>
  <si>
    <t>CHARLIE</t>
  </si>
  <si>
    <t>MARCELO BARBOSA DE SOUZA</t>
  </si>
  <si>
    <t>LEANDRO DA ROCHA SANT´ANNA</t>
  </si>
  <si>
    <t>FABIO DE SOUZA FONSECA</t>
  </si>
  <si>
    <t>IGOR DA SILVA DO AMARAL</t>
  </si>
  <si>
    <t>HELIO ISMERIM DOS SANTOS</t>
  </si>
  <si>
    <t>MARCELO DOMINGOS CARUNCHO</t>
  </si>
  <si>
    <t>PAULO ROGÉRIO MARQUES MEDEIROS</t>
  </si>
  <si>
    <t>ROGERIO CERVO MOTTA</t>
  </si>
  <si>
    <t>THALES DIEGO SOARES FERREIRA</t>
  </si>
  <si>
    <t>FRANCISCO SIMÃO DE LIMA NETO SA</t>
  </si>
  <si>
    <t>LEANDRO RICARDO LIMA DE OLIVEIRA</t>
  </si>
  <si>
    <t>NIELSON SOUZA DE OLIVEIRA</t>
  </si>
  <si>
    <t>SALATIEL DOS SANTOS LUIZ GOULART</t>
  </si>
  <si>
    <t>RODRIGO ALVES DE SOUZA</t>
  </si>
  <si>
    <t>VINICIUS DOS SANTOS PIRES</t>
  </si>
  <si>
    <t>ÁTILA DE FREITAS NETO</t>
  </si>
  <si>
    <t>RICARDO GOMES MARINHO</t>
  </si>
  <si>
    <t>VAGNER DE OLIVEIRA RESENDE</t>
  </si>
  <si>
    <t>FLÁVIO EMANOEL SANTOS DE OLIVEIRA</t>
  </si>
  <si>
    <t>ALEX CORREA SANTANA</t>
  </si>
  <si>
    <t>LUCIANO SIQUEIRA DA SILVA</t>
  </si>
  <si>
    <t>ARTUR CAVCALCANTI NETO</t>
  </si>
  <si>
    <t>BRUNO DA SILVA SANTOS</t>
  </si>
  <si>
    <t>DELTA</t>
  </si>
  <si>
    <t>DOUGLAS ARAÚJO DOS SANTOS</t>
  </si>
  <si>
    <t>DOUGLAS LEANDRO LOPES CARVALHO</t>
  </si>
  <si>
    <t>ÉDIPO FERNANDES DA SILVA</t>
  </si>
  <si>
    <t>EDSON COELHO DAVID</t>
  </si>
  <si>
    <t>LEANDRO RODRIGO SILVEIRA ROSA</t>
  </si>
  <si>
    <t>LEONARDO MONTEIRO DA SILVA</t>
  </si>
  <si>
    <t>LUCAS DIAS DE FARIAS</t>
  </si>
  <si>
    <t>MARCUS PAULO DA LUZ OLIVEIRA DA SILVEIRA</t>
  </si>
  <si>
    <t xml:space="preserve">RODRIGO DOS SANTOS FRANCO </t>
  </si>
  <si>
    <t>RODRIGO OLIVEIRA ALVES</t>
  </si>
  <si>
    <t>ROGER PEREIRA DA SILVA BARBOSA OZÓRIO</t>
  </si>
  <si>
    <t>SERGIO LUIZ DOS SANTOS JUNIOR</t>
  </si>
  <si>
    <t>WALLACE ALVES RODRIGUES DA SILVA</t>
  </si>
  <si>
    <t>WESLEY DE CARVALHO CORREA</t>
  </si>
  <si>
    <t>Contagem</t>
  </si>
  <si>
    <t>Excelente</t>
  </si>
  <si>
    <t>Bom</t>
  </si>
  <si>
    <t>TOTAL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</si>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</sst>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9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7D7D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 tint="-0.14999847407452621"/>
        <bgColor rgb="FF00B0F0"/>
      </patternFill>
    </fill>
    <fill>
      <patternFill patternType="solid">
        <fgColor theme="0"/>
        <bgColor rgb="FF00CCFF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6" fillId="0" borderId="0" applyFont="0" applyFill="0" applyBorder="0" applyAlignment="0" applyProtection="0"/>
  </cellStyleXfs>
  <cellXfs count="34">
    <xf numFmtId="0" fontId="0" fillId="0" borderId="0" xfId="0"/>
    <xf numFmtId="0" fontId="4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4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horizontal="right" vertical="center"/>
    </xf>
    <xf numFmtId="0" fontId="0" fillId="2" borderId="1" xfId="0" applyFill="1" applyBorder="1" applyAlignment="1">
      <alignment vertical="center"/>
    </xf>
    <xf numFmtId="9" fontId="0" fillId="2" borderId="1" xfId="2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9" fontId="0" fillId="3" borderId="1" xfId="2" applyFont="1" applyFill="1" applyBorder="1" applyAlignment="1">
      <alignment vertical="center"/>
    </xf>
    <xf numFmtId="0" fontId="4" fillId="5" borderId="1" xfId="1" applyFont="1" applyFill="1" applyBorder="1" applyAlignment="1">
      <alignment horizontal="center" vertical="center"/>
    </xf>
    <xf numFmtId="0" fontId="4" fillId="6" borderId="1" xfId="1" applyFont="1" applyFill="1" applyBorder="1" applyAlignment="1">
      <alignment horizontal="center" vertical="center"/>
    </xf>
    <xf numFmtId="0" fontId="4" fillId="7" borderId="1" xfId="1" applyFont="1" applyFill="1" applyBorder="1" applyAlignment="1">
      <alignment horizontal="center" vertical="center"/>
    </xf>
    <xf numFmtId="0" fontId="4" fillId="3" borderId="5" xfId="1" applyFont="1" applyFill="1" applyBorder="1" applyAlignment="1">
      <alignment horizontal="center" vertical="top"/>
    </xf>
    <xf numFmtId="0" fontId="4" fillId="2" borderId="6" xfId="1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9" borderId="2" xfId="1" applyFont="1" applyFill="1" applyBorder="1" applyAlignment="1">
      <alignment horizontal="center" vertical="top"/>
    </xf>
    <xf numFmtId="0" fontId="2" fillId="9" borderId="2" xfId="1" applyFont="1" applyFill="1" applyBorder="1" applyAlignment="1">
      <alignment horizontal="left" vertical="top"/>
    </xf>
    <xf numFmtId="0" fontId="2" fillId="9" borderId="1" xfId="1" applyFont="1" applyFill="1" applyBorder="1" applyAlignment="1">
      <alignment horizontal="center" vertical="top"/>
    </xf>
    <xf numFmtId="0" fontId="4" fillId="0" borderId="1" xfId="1" applyFont="1" applyBorder="1" applyAlignment="1">
      <alignment horizontal="left" vertical="center"/>
    </xf>
    <xf numFmtId="0" fontId="3" fillId="0" borderId="9" xfId="1" applyFont="1" applyBorder="1" applyAlignment="1">
      <alignment horizontal="left" vertical="center"/>
    </xf>
    <xf numFmtId="0" fontId="4" fillId="10" borderId="1" xfId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left" vertical="center"/>
    </xf>
    <xf numFmtId="0" fontId="3" fillId="0" borderId="10" xfId="1" applyFont="1" applyBorder="1" applyAlignment="1">
      <alignment horizontal="left" vertical="center"/>
    </xf>
    <xf numFmtId="0" fontId="3" fillId="0" borderId="11" xfId="1" applyFont="1" applyBorder="1" applyAlignment="1">
      <alignment horizontal="left" vertical="center"/>
    </xf>
    <xf numFmtId="0" fontId="4" fillId="0" borderId="1" xfId="0" applyFont="1" applyBorder="1"/>
    <xf numFmtId="0" fontId="4" fillId="10" borderId="9" xfId="1" applyFont="1" applyFill="1" applyBorder="1" applyAlignment="1">
      <alignment horizontal="center" vertical="center"/>
    </xf>
    <xf numFmtId="0" fontId="4" fillId="8" borderId="9" xfId="1" applyFont="1" applyFill="1" applyBorder="1" applyAlignment="1">
      <alignment horizontal="center" vertical="center"/>
    </xf>
    <xf numFmtId="0" fontId="4" fillId="8" borderId="12" xfId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right" vertic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Porcentagem" xfId="2" builtinId="5"/>
  </cellStyles>
  <dxfs count="2"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colors>
    <mruColors>
      <color rgb="FFFFFF66"/>
      <color rgb="FFFFFF99"/>
      <color rgb="FF3333FF"/>
      <color rgb="FFFF7D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Resultado - aferição de tempo TP-EPR Fevereiro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52A-4FAE-8057-A481310AE6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52A-4FAE-8057-A481310AE6B2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Gráfico!$B$3:$B$4</c:f>
              <c:strCache>
                <c:ptCount val="2"/>
                <c:pt idx="0">
                  <c:v>Excelente</c:v>
                </c:pt>
                <c:pt idx="1">
                  <c:v>Bom</c:v>
                </c:pt>
              </c:strCache>
            </c:strRef>
          </c:cat>
          <c:val>
            <c:numRef>
              <c:f>Gráfico!$D$3:$D$4</c:f>
              <c:numCache>
                <c:formatCode>0%</c:formatCode>
                <c:ptCount val="2"/>
                <c:pt idx="0">
                  <c:v>0.91549295774647887</c:v>
                </c:pt>
                <c:pt idx="1">
                  <c:v>8.4507042253521125E-2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EC-454F-B2B2-B3155BFC467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1</xdr:row>
      <xdr:rowOff>9525</xdr:rowOff>
    </xdr:from>
    <xdr:to>
      <xdr:col>0</xdr:col>
      <xdr:colOff>1682115</xdr:colOff>
      <xdr:row>2</xdr:row>
      <xdr:rowOff>171450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231CAA4-D7DF-C33B-A4BF-308B0F45A2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575" y="200025"/>
          <a:ext cx="1501140" cy="3524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9525</xdr:rowOff>
    </xdr:from>
    <xdr:to>
      <xdr:col>12</xdr:col>
      <xdr:colOff>0</xdr:colOff>
      <xdr:row>14</xdr:row>
      <xdr:rowOff>180976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38D77FC-D530-9F29-05B1-2F27DF0BC1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Personalizada 1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A8D08D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0"/>
  <sheetViews>
    <sheetView tabSelected="1" zoomScaleNormal="100" workbookViewId="0">
      <selection activeCell="N78" sqref="N78"/>
    </sheetView>
  </sheetViews>
  <sheetFormatPr defaultRowHeight="15"/>
  <cols>
    <col min="1" max="1" width="39" customWidth="1"/>
    <col min="2" max="2" width="14" bestFit="1" customWidth="1"/>
    <col min="3" max="3" width="12" customWidth="1"/>
    <col min="4" max="4" width="21.5703125" customWidth="1"/>
    <col min="5" max="5" width="16" bestFit="1" customWidth="1"/>
  </cols>
  <sheetData>
    <row r="1" spans="1:5" ht="15" customHeight="1">
      <c r="A1" s="31" t="s">
        <v>0</v>
      </c>
      <c r="B1" s="31"/>
      <c r="C1" s="31"/>
      <c r="D1" s="31"/>
      <c r="E1" s="31"/>
    </row>
    <row r="2" spans="1:5" ht="15" customHeight="1">
      <c r="A2" s="31"/>
      <c r="B2" s="31"/>
      <c r="C2" s="31"/>
      <c r="D2" s="31"/>
      <c r="E2" s="31"/>
    </row>
    <row r="3" spans="1:5" ht="15" customHeight="1">
      <c r="A3" s="31"/>
      <c r="B3" s="31"/>
      <c r="C3" s="31"/>
      <c r="D3" s="31"/>
      <c r="E3" s="31"/>
    </row>
    <row r="4" spans="1:5" ht="15" customHeight="1">
      <c r="A4" s="31"/>
      <c r="B4" s="31"/>
      <c r="C4" s="31"/>
      <c r="D4" s="31"/>
      <c r="E4" s="31"/>
    </row>
    <row r="5" spans="1:5">
      <c r="A5" s="18" t="s">
        <v>1</v>
      </c>
      <c r="B5" s="19" t="s">
        <v>2</v>
      </c>
      <c r="C5" s="18" t="s">
        <v>3</v>
      </c>
      <c r="D5" s="18" t="s">
        <v>4</v>
      </c>
      <c r="E5" s="20" t="s">
        <v>5</v>
      </c>
    </row>
    <row r="6" spans="1:5">
      <c r="A6" s="22" t="s">
        <v>6</v>
      </c>
      <c r="B6" s="12" t="s">
        <v>7</v>
      </c>
      <c r="C6" s="23" t="s">
        <v>8</v>
      </c>
      <c r="D6" s="3">
        <v>5.7870370370370367E-4</v>
      </c>
      <c r="E6" s="4" t="str">
        <f t="shared" ref="E6:E38" si="0">IF(D6&lt;=TIME(0,1,0),"Excelente",IF(D6&lt;=TIME(0,1,30),"Bom","Ruim"))</f>
        <v>Excelente</v>
      </c>
    </row>
    <row r="7" spans="1:5">
      <c r="A7" s="24" t="s">
        <v>9</v>
      </c>
      <c r="B7" s="12" t="s">
        <v>7</v>
      </c>
      <c r="C7" s="23" t="s">
        <v>10</v>
      </c>
      <c r="D7" s="3">
        <v>6.3657407407407413E-4</v>
      </c>
      <c r="E7" s="4" t="str">
        <f t="shared" si="0"/>
        <v>Excelente</v>
      </c>
    </row>
    <row r="8" spans="1:5">
      <c r="A8" s="24" t="s">
        <v>11</v>
      </c>
      <c r="B8" s="12" t="s">
        <v>7</v>
      </c>
      <c r="C8" s="23" t="s">
        <v>12</v>
      </c>
      <c r="D8" s="3">
        <v>5.5555555555555556E-4</v>
      </c>
      <c r="E8" s="4" t="str">
        <f t="shared" si="0"/>
        <v>Excelente</v>
      </c>
    </row>
    <row r="9" spans="1:5">
      <c r="A9" s="24" t="s">
        <v>13</v>
      </c>
      <c r="B9" s="12" t="s">
        <v>7</v>
      </c>
      <c r="C9" s="23" t="s">
        <v>12</v>
      </c>
      <c r="D9" s="3">
        <v>4.6296296296296298E-4</v>
      </c>
      <c r="E9" s="4" t="str">
        <f t="shared" si="0"/>
        <v>Excelente</v>
      </c>
    </row>
    <row r="10" spans="1:5">
      <c r="A10" s="24" t="s">
        <v>14</v>
      </c>
      <c r="B10" s="12" t="s">
        <v>7</v>
      </c>
      <c r="C10" s="23" t="s">
        <v>12</v>
      </c>
      <c r="D10" s="3">
        <v>6.2500000000000001E-4</v>
      </c>
      <c r="E10" s="4" t="str">
        <f t="shared" si="0"/>
        <v>Excelente</v>
      </c>
    </row>
    <row r="11" spans="1:5">
      <c r="A11" s="24" t="s">
        <v>15</v>
      </c>
      <c r="B11" s="12" t="s">
        <v>7</v>
      </c>
      <c r="C11" s="23" t="s">
        <v>10</v>
      </c>
      <c r="D11" s="3">
        <v>6.134259259259259E-4</v>
      </c>
      <c r="E11" s="4" t="str">
        <f t="shared" si="0"/>
        <v>Excelente</v>
      </c>
    </row>
    <row r="12" spans="1:5">
      <c r="A12" s="24" t="s">
        <v>16</v>
      </c>
      <c r="B12" s="12" t="s">
        <v>7</v>
      </c>
      <c r="C12" s="23" t="s">
        <v>12</v>
      </c>
      <c r="D12" s="3">
        <v>4.9768518518518521E-4</v>
      </c>
      <c r="E12" s="4" t="str">
        <f t="shared" si="0"/>
        <v>Excelente</v>
      </c>
    </row>
    <row r="13" spans="1:5" ht="15" customHeight="1">
      <c r="A13" s="24" t="s">
        <v>17</v>
      </c>
      <c r="B13" s="12" t="s">
        <v>7</v>
      </c>
      <c r="C13" s="23" t="s">
        <v>10</v>
      </c>
      <c r="D13" s="3">
        <v>5.7870370370370367E-4</v>
      </c>
      <c r="E13" s="4" t="str">
        <f t="shared" si="0"/>
        <v>Excelente</v>
      </c>
    </row>
    <row r="14" spans="1:5" ht="15" customHeight="1">
      <c r="A14" s="24" t="s">
        <v>18</v>
      </c>
      <c r="B14" s="12" t="s">
        <v>7</v>
      </c>
      <c r="C14" s="23" t="s">
        <v>12</v>
      </c>
      <c r="D14" s="3">
        <v>6.7129629629629625E-4</v>
      </c>
      <c r="E14" s="4" t="str">
        <f t="shared" si="0"/>
        <v>Excelente</v>
      </c>
    </row>
    <row r="15" spans="1:5" ht="15" customHeight="1">
      <c r="A15" s="24" t="s">
        <v>19</v>
      </c>
      <c r="B15" s="12" t="s">
        <v>7</v>
      </c>
      <c r="C15" s="23" t="s">
        <v>12</v>
      </c>
      <c r="D15" s="3">
        <v>6.2500000000000001E-4</v>
      </c>
      <c r="E15" s="4" t="str">
        <f t="shared" si="0"/>
        <v>Excelente</v>
      </c>
    </row>
    <row r="16" spans="1:5">
      <c r="A16" s="24" t="s">
        <v>20</v>
      </c>
      <c r="B16" s="12" t="s">
        <v>7</v>
      </c>
      <c r="C16" s="23" t="s">
        <v>12</v>
      </c>
      <c r="D16" s="3">
        <v>6.7129629629629625E-4</v>
      </c>
      <c r="E16" s="4" t="str">
        <f t="shared" si="0"/>
        <v>Excelente</v>
      </c>
    </row>
    <row r="17" spans="1:5">
      <c r="A17" s="24" t="s">
        <v>21</v>
      </c>
      <c r="B17" s="12" t="s">
        <v>7</v>
      </c>
      <c r="C17" s="23" t="s">
        <v>12</v>
      </c>
      <c r="D17" s="3">
        <v>6.7129629629629625E-4</v>
      </c>
      <c r="E17" s="4" t="str">
        <f t="shared" si="0"/>
        <v>Excelente</v>
      </c>
    </row>
    <row r="18" spans="1:5">
      <c r="A18" s="24" t="s">
        <v>22</v>
      </c>
      <c r="B18" s="12" t="s">
        <v>7</v>
      </c>
      <c r="C18" s="23" t="s">
        <v>10</v>
      </c>
      <c r="D18" s="3">
        <v>6.9444444444444447E-4</v>
      </c>
      <c r="E18" s="4" t="str">
        <f t="shared" si="0"/>
        <v>Excelente</v>
      </c>
    </row>
    <row r="19" spans="1:5">
      <c r="A19" s="24" t="s">
        <v>23</v>
      </c>
      <c r="B19" s="12" t="s">
        <v>7</v>
      </c>
      <c r="C19" s="23" t="s">
        <v>10</v>
      </c>
      <c r="D19" s="3">
        <v>8.1018518518518516E-4</v>
      </c>
      <c r="E19" s="4" t="str">
        <f t="shared" si="0"/>
        <v>Bom</v>
      </c>
    </row>
    <row r="20" spans="1:5">
      <c r="A20" s="24" t="s">
        <v>24</v>
      </c>
      <c r="B20" s="12" t="s">
        <v>7</v>
      </c>
      <c r="C20" s="23" t="s">
        <v>12</v>
      </c>
      <c r="D20" s="3">
        <v>6.5972222222222224E-4</v>
      </c>
      <c r="E20" s="4" t="str">
        <f t="shared" si="0"/>
        <v>Excelente</v>
      </c>
    </row>
    <row r="21" spans="1:5">
      <c r="A21" s="24" t="s">
        <v>25</v>
      </c>
      <c r="B21" s="12" t="s">
        <v>7</v>
      </c>
      <c r="C21" s="23" t="s">
        <v>12</v>
      </c>
      <c r="D21" s="3">
        <v>8.3333333333333339E-4</v>
      </c>
      <c r="E21" s="4" t="str">
        <f t="shared" si="0"/>
        <v>Bom</v>
      </c>
    </row>
    <row r="22" spans="1:5">
      <c r="A22" s="25" t="s">
        <v>26</v>
      </c>
      <c r="B22" s="12" t="s">
        <v>7</v>
      </c>
      <c r="C22" s="23" t="s">
        <v>12</v>
      </c>
      <c r="D22" s="3">
        <v>3.8194444444444446E-4</v>
      </c>
      <c r="E22" s="4" t="str">
        <f t="shared" si="0"/>
        <v>Excelente</v>
      </c>
    </row>
    <row r="23" spans="1:5">
      <c r="A23" s="21" t="s">
        <v>27</v>
      </c>
      <c r="B23" s="13" t="s">
        <v>28</v>
      </c>
      <c r="C23" s="2" t="s">
        <v>12</v>
      </c>
      <c r="D23" s="3">
        <v>4.6296296296296298E-4</v>
      </c>
      <c r="E23" s="4" t="str">
        <f t="shared" si="0"/>
        <v>Excelente</v>
      </c>
    </row>
    <row r="24" spans="1:5">
      <c r="A24" s="21" t="s">
        <v>29</v>
      </c>
      <c r="B24" s="13" t="s">
        <v>28</v>
      </c>
      <c r="C24" s="1" t="s">
        <v>12</v>
      </c>
      <c r="D24" s="3">
        <v>6.2500000000000001E-4</v>
      </c>
      <c r="E24" s="4" t="str">
        <f t="shared" si="0"/>
        <v>Excelente</v>
      </c>
    </row>
    <row r="25" spans="1:5">
      <c r="A25" s="21" t="s">
        <v>30</v>
      </c>
      <c r="B25" s="13" t="s">
        <v>28</v>
      </c>
      <c r="C25" s="2" t="s">
        <v>12</v>
      </c>
      <c r="D25" s="3">
        <v>6.134259259259259E-4</v>
      </c>
      <c r="E25" s="4" t="str">
        <f t="shared" si="0"/>
        <v>Excelente</v>
      </c>
    </row>
    <row r="26" spans="1:5">
      <c r="A26" s="21" t="s">
        <v>31</v>
      </c>
      <c r="B26" s="13" t="s">
        <v>28</v>
      </c>
      <c r="C26" s="2" t="s">
        <v>12</v>
      </c>
      <c r="D26" s="3">
        <v>4.9768518518518521E-4</v>
      </c>
      <c r="E26" s="4" t="str">
        <f t="shared" si="0"/>
        <v>Excelente</v>
      </c>
    </row>
    <row r="27" spans="1:5">
      <c r="A27" s="21" t="s">
        <v>32</v>
      </c>
      <c r="B27" s="13" t="s">
        <v>28</v>
      </c>
      <c r="C27" s="2" t="s">
        <v>33</v>
      </c>
      <c r="D27" s="3">
        <v>5.7870370370370367E-4</v>
      </c>
      <c r="E27" s="4" t="str">
        <f t="shared" si="0"/>
        <v>Excelente</v>
      </c>
    </row>
    <row r="28" spans="1:5">
      <c r="A28" s="21" t="s">
        <v>34</v>
      </c>
      <c r="B28" s="13" t="s">
        <v>28</v>
      </c>
      <c r="C28" s="2" t="s">
        <v>12</v>
      </c>
      <c r="D28" s="3">
        <v>6.7129629629629625E-4</v>
      </c>
      <c r="E28" s="4" t="str">
        <f t="shared" si="0"/>
        <v>Excelente</v>
      </c>
    </row>
    <row r="29" spans="1:5">
      <c r="A29" s="21" t="s">
        <v>35</v>
      </c>
      <c r="B29" s="13" t="s">
        <v>28</v>
      </c>
      <c r="C29" s="2" t="s">
        <v>12</v>
      </c>
      <c r="D29" s="3">
        <v>4.6296296296296298E-4</v>
      </c>
      <c r="E29" s="4" t="str">
        <f t="shared" si="0"/>
        <v>Excelente</v>
      </c>
    </row>
    <row r="30" spans="1:5">
      <c r="A30" s="21" t="s">
        <v>36</v>
      </c>
      <c r="B30" s="13" t="s">
        <v>28</v>
      </c>
      <c r="C30" s="2" t="s">
        <v>37</v>
      </c>
      <c r="D30" s="3">
        <v>6.2500000000000001E-4</v>
      </c>
      <c r="E30" s="4" t="str">
        <f t="shared" si="0"/>
        <v>Excelente</v>
      </c>
    </row>
    <row r="31" spans="1:5">
      <c r="A31" s="21" t="s">
        <v>38</v>
      </c>
      <c r="B31" s="13" t="s">
        <v>28</v>
      </c>
      <c r="C31" s="2" t="s">
        <v>12</v>
      </c>
      <c r="D31" s="3">
        <v>6.134259259259259E-4</v>
      </c>
      <c r="E31" s="4" t="str">
        <f t="shared" si="0"/>
        <v>Excelente</v>
      </c>
    </row>
    <row r="32" spans="1:5">
      <c r="A32" s="21" t="s">
        <v>39</v>
      </c>
      <c r="B32" s="13" t="s">
        <v>28</v>
      </c>
      <c r="C32" s="2" t="s">
        <v>33</v>
      </c>
      <c r="D32" s="3">
        <v>4.9768518518518521E-4</v>
      </c>
      <c r="E32" s="4" t="str">
        <f t="shared" si="0"/>
        <v>Excelente</v>
      </c>
    </row>
    <row r="33" spans="1:5">
      <c r="A33" s="21" t="s">
        <v>40</v>
      </c>
      <c r="B33" s="13" t="s">
        <v>28</v>
      </c>
      <c r="C33" s="2" t="s">
        <v>41</v>
      </c>
      <c r="D33" s="3">
        <v>5.7870370370370367E-4</v>
      </c>
      <c r="E33" s="4" t="str">
        <f t="shared" si="0"/>
        <v>Excelente</v>
      </c>
    </row>
    <row r="34" spans="1:5">
      <c r="A34" s="21" t="s">
        <v>42</v>
      </c>
      <c r="B34" s="13" t="s">
        <v>28</v>
      </c>
      <c r="C34" s="1" t="s">
        <v>33</v>
      </c>
      <c r="D34" s="3">
        <v>6.7129629629629625E-4</v>
      </c>
      <c r="E34" s="4" t="str">
        <f t="shared" si="0"/>
        <v>Excelente</v>
      </c>
    </row>
    <row r="35" spans="1:5">
      <c r="A35" s="21" t="s">
        <v>43</v>
      </c>
      <c r="B35" s="13" t="s">
        <v>28</v>
      </c>
      <c r="C35" s="2" t="s">
        <v>44</v>
      </c>
      <c r="D35" s="3">
        <v>4.6296296296296298E-4</v>
      </c>
      <c r="E35" s="4" t="str">
        <f t="shared" si="0"/>
        <v>Excelente</v>
      </c>
    </row>
    <row r="36" spans="1:5">
      <c r="A36" s="21" t="s">
        <v>45</v>
      </c>
      <c r="B36" s="13" t="s">
        <v>28</v>
      </c>
      <c r="C36" s="2" t="s">
        <v>46</v>
      </c>
      <c r="D36" s="3">
        <v>6.2500000000000001E-4</v>
      </c>
      <c r="E36" s="4" t="str">
        <f t="shared" si="0"/>
        <v>Excelente</v>
      </c>
    </row>
    <row r="37" spans="1:5">
      <c r="A37" s="21" t="s">
        <v>47</v>
      </c>
      <c r="B37" s="13" t="s">
        <v>28</v>
      </c>
      <c r="C37" s="2" t="s">
        <v>12</v>
      </c>
      <c r="D37" s="3">
        <v>6.134259259259259E-4</v>
      </c>
      <c r="E37" s="4" t="str">
        <f t="shared" si="0"/>
        <v>Excelente</v>
      </c>
    </row>
    <row r="38" spans="1:5">
      <c r="A38" s="21" t="s">
        <v>48</v>
      </c>
      <c r="B38" s="13" t="s">
        <v>28</v>
      </c>
      <c r="C38" s="1" t="s">
        <v>12</v>
      </c>
      <c r="D38" s="3">
        <v>4.9768518518518521E-4</v>
      </c>
      <c r="E38" s="4" t="str">
        <f t="shared" si="0"/>
        <v>Excelente</v>
      </c>
    </row>
    <row r="39" spans="1:5">
      <c r="A39" s="24" t="s">
        <v>49</v>
      </c>
      <c r="B39" s="29" t="s">
        <v>50</v>
      </c>
      <c r="C39" s="23" t="s">
        <v>46</v>
      </c>
      <c r="D39" s="3">
        <v>5.7870370370370367E-4</v>
      </c>
      <c r="E39" s="4" t="str">
        <f t="shared" ref="E39:E76" si="1">IF(D39&lt;=TIME(0,1,0),"Excelente",IF(D39&lt;=TIME(0,1,30),"Bom","Ruim"))</f>
        <v>Excelente</v>
      </c>
    </row>
    <row r="40" spans="1:5">
      <c r="A40" s="24" t="s">
        <v>51</v>
      </c>
      <c r="B40" s="29" t="s">
        <v>50</v>
      </c>
      <c r="C40" s="23" t="s">
        <v>44</v>
      </c>
      <c r="D40" s="3">
        <v>6.7129629629629625E-4</v>
      </c>
      <c r="E40" s="4" t="str">
        <f t="shared" si="1"/>
        <v>Excelente</v>
      </c>
    </row>
    <row r="41" spans="1:5">
      <c r="A41" s="24" t="s">
        <v>52</v>
      </c>
      <c r="B41" s="29" t="s">
        <v>50</v>
      </c>
      <c r="C41" s="23" t="s">
        <v>37</v>
      </c>
      <c r="D41" s="3">
        <v>6.8287037037037036E-4</v>
      </c>
      <c r="E41" s="4" t="str">
        <f t="shared" si="1"/>
        <v>Excelente</v>
      </c>
    </row>
    <row r="42" spans="1:5">
      <c r="A42" s="24" t="s">
        <v>53</v>
      </c>
      <c r="B42" s="29" t="s">
        <v>50</v>
      </c>
      <c r="C42" s="23" t="s">
        <v>33</v>
      </c>
      <c r="D42" s="3">
        <v>6.9444444444444447E-4</v>
      </c>
      <c r="E42" s="4" t="str">
        <f t="shared" si="1"/>
        <v>Excelente</v>
      </c>
    </row>
    <row r="43" spans="1:5">
      <c r="A43" s="24" t="s">
        <v>54</v>
      </c>
      <c r="B43" s="29" t="s">
        <v>50</v>
      </c>
      <c r="C43" s="23" t="s">
        <v>33</v>
      </c>
      <c r="D43" s="3">
        <v>5.6712962962962967E-4</v>
      </c>
      <c r="E43" s="4" t="str">
        <f t="shared" si="1"/>
        <v>Excelente</v>
      </c>
    </row>
    <row r="44" spans="1:5">
      <c r="A44" s="24" t="s">
        <v>55</v>
      </c>
      <c r="B44" s="29" t="s">
        <v>50</v>
      </c>
      <c r="C44" s="23" t="s">
        <v>33</v>
      </c>
      <c r="D44" s="3">
        <v>5.6712962962962967E-4</v>
      </c>
      <c r="E44" s="4" t="str">
        <f t="shared" si="1"/>
        <v>Excelente</v>
      </c>
    </row>
    <row r="45" spans="1:5">
      <c r="A45" s="24" t="s">
        <v>56</v>
      </c>
      <c r="B45" s="29" t="s">
        <v>50</v>
      </c>
      <c r="C45" s="23" t="s">
        <v>33</v>
      </c>
      <c r="D45" s="3">
        <v>8.9120370370370373E-4</v>
      </c>
      <c r="E45" s="4" t="str">
        <f t="shared" si="1"/>
        <v>Bom</v>
      </c>
    </row>
    <row r="46" spans="1:5">
      <c r="A46" s="24" t="s">
        <v>57</v>
      </c>
      <c r="B46" s="29" t="s">
        <v>50</v>
      </c>
      <c r="C46" s="23" t="s">
        <v>33</v>
      </c>
      <c r="D46" s="3">
        <v>6.9444444444444447E-4</v>
      </c>
      <c r="E46" s="4" t="str">
        <f t="shared" si="1"/>
        <v>Excelente</v>
      </c>
    </row>
    <row r="47" spans="1:5">
      <c r="A47" s="24" t="s">
        <v>58</v>
      </c>
      <c r="B47" s="29" t="s">
        <v>50</v>
      </c>
      <c r="C47" s="23" t="s">
        <v>33</v>
      </c>
      <c r="D47" s="3">
        <v>6.3657407407407413E-4</v>
      </c>
      <c r="E47" s="4" t="str">
        <f t="shared" si="1"/>
        <v>Excelente</v>
      </c>
    </row>
    <row r="48" spans="1:5">
      <c r="A48" s="26" t="s">
        <v>59</v>
      </c>
      <c r="B48" s="29" t="s">
        <v>50</v>
      </c>
      <c r="C48" s="23" t="s">
        <v>41</v>
      </c>
      <c r="D48" s="3">
        <v>4.861111111111111E-4</v>
      </c>
      <c r="E48" s="4" t="str">
        <f t="shared" si="1"/>
        <v>Excelente</v>
      </c>
    </row>
    <row r="49" spans="1:5">
      <c r="A49" s="27" t="s">
        <v>60</v>
      </c>
      <c r="B49" s="29" t="s">
        <v>50</v>
      </c>
      <c r="C49" s="23" t="s">
        <v>41</v>
      </c>
      <c r="D49" s="3">
        <v>6.018518518518519E-4</v>
      </c>
      <c r="E49" s="4" t="str">
        <f t="shared" si="1"/>
        <v>Excelente</v>
      </c>
    </row>
    <row r="50" spans="1:5">
      <c r="A50" s="21" t="s">
        <v>61</v>
      </c>
      <c r="B50" s="29" t="s">
        <v>50</v>
      </c>
      <c r="C50" s="23" t="s">
        <v>12</v>
      </c>
      <c r="D50" s="3">
        <v>6.7129629629629625E-4</v>
      </c>
      <c r="E50" s="4" t="str">
        <f t="shared" si="1"/>
        <v>Excelente</v>
      </c>
    </row>
    <row r="51" spans="1:5">
      <c r="A51" s="21" t="s">
        <v>62</v>
      </c>
      <c r="B51" s="29" t="s">
        <v>50</v>
      </c>
      <c r="C51" s="23" t="s">
        <v>12</v>
      </c>
      <c r="D51" s="3">
        <v>7.0601851851851847E-4</v>
      </c>
      <c r="E51" s="4" t="str">
        <f t="shared" si="1"/>
        <v>Bom</v>
      </c>
    </row>
    <row r="52" spans="1:5">
      <c r="A52" s="21" t="s">
        <v>63</v>
      </c>
      <c r="B52" s="30" t="s">
        <v>50</v>
      </c>
      <c r="C52" s="23" t="s">
        <v>12</v>
      </c>
      <c r="D52" s="3">
        <v>6.7129629629629625E-4</v>
      </c>
      <c r="E52" s="4" t="str">
        <f t="shared" si="1"/>
        <v>Excelente</v>
      </c>
    </row>
    <row r="53" spans="1:5">
      <c r="A53" s="21" t="s">
        <v>64</v>
      </c>
      <c r="B53" s="30" t="s">
        <v>50</v>
      </c>
      <c r="C53" s="28" t="s">
        <v>12</v>
      </c>
      <c r="D53" s="3">
        <v>6.4814814814814813E-4</v>
      </c>
      <c r="E53" s="4" t="str">
        <f t="shared" si="1"/>
        <v>Excelente</v>
      </c>
    </row>
    <row r="54" spans="1:5">
      <c r="A54" s="21" t="s">
        <v>65</v>
      </c>
      <c r="B54" s="29" t="s">
        <v>50</v>
      </c>
      <c r="C54" s="23" t="s">
        <v>12</v>
      </c>
      <c r="D54" s="3">
        <v>6.5972222222222224E-4</v>
      </c>
      <c r="E54" s="4" t="str">
        <f t="shared" si="1"/>
        <v>Excelente</v>
      </c>
    </row>
    <row r="55" spans="1:5">
      <c r="A55" s="21" t="s">
        <v>66</v>
      </c>
      <c r="B55" s="29" t="s">
        <v>50</v>
      </c>
      <c r="C55" s="23" t="s">
        <v>12</v>
      </c>
      <c r="D55" s="3">
        <v>5.7870370370370367E-4</v>
      </c>
      <c r="E55" s="4" t="str">
        <f t="shared" si="1"/>
        <v>Excelente</v>
      </c>
    </row>
    <row r="56" spans="1:5">
      <c r="A56" s="21" t="s">
        <v>67</v>
      </c>
      <c r="B56" s="29" t="s">
        <v>50</v>
      </c>
      <c r="C56" s="23" t="s">
        <v>12</v>
      </c>
      <c r="D56" s="3">
        <v>6.3657407407407413E-4</v>
      </c>
      <c r="E56" s="4" t="str">
        <f t="shared" si="1"/>
        <v>Excelente</v>
      </c>
    </row>
    <row r="57" spans="1:5">
      <c r="A57" s="21" t="s">
        <v>68</v>
      </c>
      <c r="B57" s="29" t="s">
        <v>50</v>
      </c>
      <c r="C57" s="23" t="s">
        <v>12</v>
      </c>
      <c r="D57" s="3">
        <v>6.018518518518519E-4</v>
      </c>
      <c r="E57" s="4" t="str">
        <f t="shared" si="1"/>
        <v>Excelente</v>
      </c>
    </row>
    <row r="58" spans="1:5">
      <c r="A58" s="21" t="s">
        <v>69</v>
      </c>
      <c r="B58" s="29" t="s">
        <v>50</v>
      </c>
      <c r="C58" s="23" t="s">
        <v>12</v>
      </c>
      <c r="D58" s="3">
        <v>6.4814814814814813E-4</v>
      </c>
      <c r="E58" s="4" t="str">
        <f t="shared" si="1"/>
        <v>Excelente</v>
      </c>
    </row>
    <row r="59" spans="1:5">
      <c r="A59" s="21" t="s">
        <v>70</v>
      </c>
      <c r="B59" s="29" t="s">
        <v>50</v>
      </c>
      <c r="C59" s="23" t="s">
        <v>12</v>
      </c>
      <c r="D59" s="3">
        <v>6.7129629629629625E-4</v>
      </c>
      <c r="E59" s="4" t="str">
        <f t="shared" si="1"/>
        <v>Excelente</v>
      </c>
    </row>
    <row r="60" spans="1:5">
      <c r="A60" s="21" t="s">
        <v>71</v>
      </c>
      <c r="B60" s="29" t="s">
        <v>50</v>
      </c>
      <c r="C60" s="23" t="s">
        <v>12</v>
      </c>
      <c r="D60" s="3">
        <v>5.7870370370370367E-4</v>
      </c>
      <c r="E60" s="4" t="str">
        <f t="shared" si="1"/>
        <v>Excelente</v>
      </c>
    </row>
    <row r="61" spans="1:5">
      <c r="A61" s="21" t="s">
        <v>72</v>
      </c>
      <c r="B61" s="29" t="s">
        <v>50</v>
      </c>
      <c r="C61" s="23" t="s">
        <v>12</v>
      </c>
      <c r="D61" s="3">
        <v>7.1759259259259259E-4</v>
      </c>
      <c r="E61" s="4" t="str">
        <f t="shared" si="1"/>
        <v>Bom</v>
      </c>
    </row>
    <row r="62" spans="1:5">
      <c r="A62" s="21" t="s">
        <v>73</v>
      </c>
      <c r="B62" s="11" t="s">
        <v>74</v>
      </c>
      <c r="C62" s="1" t="s">
        <v>41</v>
      </c>
      <c r="D62" s="3">
        <v>6.4814814814814813E-4</v>
      </c>
      <c r="E62" s="4" t="str">
        <f t="shared" si="1"/>
        <v>Excelente</v>
      </c>
    </row>
    <row r="63" spans="1:5">
      <c r="A63" s="21" t="s">
        <v>75</v>
      </c>
      <c r="B63" s="11" t="s">
        <v>74</v>
      </c>
      <c r="C63" s="1" t="s">
        <v>37</v>
      </c>
      <c r="D63" s="3">
        <v>6.5972222222222224E-4</v>
      </c>
      <c r="E63" s="4" t="str">
        <f t="shared" si="1"/>
        <v>Excelente</v>
      </c>
    </row>
    <row r="64" spans="1:5">
      <c r="A64" s="21" t="s">
        <v>76</v>
      </c>
      <c r="B64" s="11" t="s">
        <v>74</v>
      </c>
      <c r="C64" s="1" t="s">
        <v>12</v>
      </c>
      <c r="D64" s="3">
        <v>5.7870370370370367E-4</v>
      </c>
      <c r="E64" s="4" t="str">
        <f t="shared" si="1"/>
        <v>Excelente</v>
      </c>
    </row>
    <row r="65" spans="1:5">
      <c r="A65" s="21" t="s">
        <v>77</v>
      </c>
      <c r="B65" s="11" t="s">
        <v>74</v>
      </c>
      <c r="C65" s="1" t="s">
        <v>33</v>
      </c>
      <c r="D65" s="3">
        <v>6.3657407407407413E-4</v>
      </c>
      <c r="E65" s="4" t="str">
        <f t="shared" si="1"/>
        <v>Excelente</v>
      </c>
    </row>
    <row r="66" spans="1:5">
      <c r="A66" s="21" t="s">
        <v>78</v>
      </c>
      <c r="B66" s="11" t="s">
        <v>74</v>
      </c>
      <c r="C66" s="1" t="s">
        <v>12</v>
      </c>
      <c r="D66" s="3">
        <v>6.018518518518519E-4</v>
      </c>
      <c r="E66" s="4" t="str">
        <f t="shared" si="1"/>
        <v>Excelente</v>
      </c>
    </row>
    <row r="67" spans="1:5">
      <c r="A67" s="21" t="s">
        <v>79</v>
      </c>
      <c r="B67" s="11" t="s">
        <v>74</v>
      </c>
      <c r="C67" s="1" t="s">
        <v>12</v>
      </c>
      <c r="D67" s="3">
        <v>6.4814814814814813E-4</v>
      </c>
      <c r="E67" s="4" t="str">
        <f t="shared" si="1"/>
        <v>Excelente</v>
      </c>
    </row>
    <row r="68" spans="1:5">
      <c r="A68" s="21" t="s">
        <v>80</v>
      </c>
      <c r="B68" s="11" t="s">
        <v>74</v>
      </c>
      <c r="C68" s="1" t="s">
        <v>12</v>
      </c>
      <c r="D68" s="3">
        <v>6.5972222222222224E-4</v>
      </c>
      <c r="E68" s="4" t="str">
        <f t="shared" si="1"/>
        <v>Excelente</v>
      </c>
    </row>
    <row r="69" spans="1:5">
      <c r="A69" s="21" t="s">
        <v>81</v>
      </c>
      <c r="B69" s="11" t="s">
        <v>74</v>
      </c>
      <c r="C69" s="1" t="s">
        <v>44</v>
      </c>
      <c r="D69" s="3">
        <v>5.7870370370370367E-4</v>
      </c>
      <c r="E69" s="4" t="str">
        <f t="shared" si="1"/>
        <v>Excelente</v>
      </c>
    </row>
    <row r="70" spans="1:5">
      <c r="A70" s="21" t="s">
        <v>82</v>
      </c>
      <c r="B70" s="11" t="s">
        <v>74</v>
      </c>
      <c r="C70" s="1" t="s">
        <v>12</v>
      </c>
      <c r="D70" s="3">
        <v>6.3657407407407413E-4</v>
      </c>
      <c r="E70" s="4" t="str">
        <f t="shared" si="1"/>
        <v>Excelente</v>
      </c>
    </row>
    <row r="71" spans="1:5">
      <c r="A71" s="21" t="s">
        <v>83</v>
      </c>
      <c r="B71" s="11" t="s">
        <v>74</v>
      </c>
      <c r="C71" s="1" t="s">
        <v>12</v>
      </c>
      <c r="D71" s="3">
        <v>6.018518518518519E-4</v>
      </c>
      <c r="E71" s="4" t="str">
        <f t="shared" si="1"/>
        <v>Excelente</v>
      </c>
    </row>
    <row r="72" spans="1:5">
      <c r="A72" s="21" t="s">
        <v>84</v>
      </c>
      <c r="B72" s="11" t="s">
        <v>74</v>
      </c>
      <c r="C72" s="1" t="s">
        <v>41</v>
      </c>
      <c r="D72" s="3">
        <v>6.4814814814814813E-4</v>
      </c>
      <c r="E72" s="4" t="str">
        <f t="shared" si="1"/>
        <v>Excelente</v>
      </c>
    </row>
    <row r="73" spans="1:5">
      <c r="A73" s="21" t="s">
        <v>85</v>
      </c>
      <c r="B73" s="11" t="s">
        <v>74</v>
      </c>
      <c r="C73" s="1" t="s">
        <v>33</v>
      </c>
      <c r="D73" s="3">
        <v>6.5972222222222224E-4</v>
      </c>
      <c r="E73" s="4" t="str">
        <f t="shared" si="1"/>
        <v>Excelente</v>
      </c>
    </row>
    <row r="74" spans="1:5">
      <c r="A74" s="21" t="s">
        <v>86</v>
      </c>
      <c r="B74" s="11" t="s">
        <v>74</v>
      </c>
      <c r="C74" s="1" t="s">
        <v>12</v>
      </c>
      <c r="D74" s="3">
        <v>7.407407407407407E-4</v>
      </c>
      <c r="E74" s="4" t="str">
        <f t="shared" si="1"/>
        <v>Bom</v>
      </c>
    </row>
    <row r="75" spans="1:5">
      <c r="A75" s="21" t="s">
        <v>87</v>
      </c>
      <c r="B75" s="11" t="s">
        <v>74</v>
      </c>
      <c r="C75" s="1" t="s">
        <v>12</v>
      </c>
      <c r="D75" s="3">
        <v>6.4814814814814813E-4</v>
      </c>
      <c r="E75" s="4" t="str">
        <f t="shared" si="1"/>
        <v>Excelente</v>
      </c>
    </row>
    <row r="76" spans="1:5">
      <c r="A76" s="21" t="s">
        <v>88</v>
      </c>
      <c r="B76" s="11" t="s">
        <v>74</v>
      </c>
      <c r="C76" s="1" t="s">
        <v>33</v>
      </c>
      <c r="D76" s="3">
        <v>6.5972222222222224E-4</v>
      </c>
      <c r="E76" s="4" t="str">
        <f t="shared" si="1"/>
        <v>Excelente</v>
      </c>
    </row>
    <row r="78" spans="1:5">
      <c r="B78" s="32" t="s">
        <v>89</v>
      </c>
      <c r="C78" s="33"/>
    </row>
    <row r="79" spans="1:5">
      <c r="B79" s="14" t="s">
        <v>90</v>
      </c>
      <c r="C79" s="15" t="s">
        <v>91</v>
      </c>
    </row>
    <row r="80" spans="1:5">
      <c r="B80" s="16">
        <f>COUNTIF(E6:E76,"Excelente")</f>
        <v>65</v>
      </c>
      <c r="C80" s="17">
        <f>COUNTIF(E6:E76,"Bom")</f>
        <v>6</v>
      </c>
    </row>
  </sheetData>
  <autoFilter ref="A5:E76" xr:uid="{00000000-0009-0000-0000-000000000000}">
    <sortState xmlns:xlrd2="http://schemas.microsoft.com/office/spreadsheetml/2017/richdata2" ref="A6:E76">
      <sortCondition ref="C5:C76"/>
    </sortState>
  </autoFilter>
  <mergeCells count="2">
    <mergeCell ref="A1:E4"/>
    <mergeCell ref="B78:C78"/>
  </mergeCells>
  <conditionalFormatting sqref="E6:E76">
    <cfRule type="cellIs" dxfId="1" priority="5" operator="equal">
      <formula>"Bom"</formula>
    </cfRule>
    <cfRule type="cellIs" dxfId="0" priority="6" operator="equal">
      <formula>"Excelente"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4"/>
  <sheetViews>
    <sheetView workbookViewId="0">
      <selection activeCell="C8" sqref="C8"/>
    </sheetView>
  </sheetViews>
  <sheetFormatPr defaultRowHeight="15"/>
  <sheetData>
    <row r="2" spans="2:4">
      <c r="B2" s="5" t="s">
        <v>92</v>
      </c>
      <c r="C2" s="5">
        <f>SUM(C3,C4)</f>
        <v>71</v>
      </c>
      <c r="D2" s="6" t="s">
        <v>93</v>
      </c>
    </row>
    <row r="3" spans="2:4">
      <c r="B3" s="9" t="s">
        <v>90</v>
      </c>
      <c r="C3" s="9">
        <f>ABRIL!B80</f>
        <v>65</v>
      </c>
      <c r="D3" s="10">
        <f>C3/C2</f>
        <v>0.91549295774647887</v>
      </c>
    </row>
    <row r="4" spans="2:4">
      <c r="B4" s="7" t="s">
        <v>91</v>
      </c>
      <c r="C4" s="7">
        <f>ABRIL!C80</f>
        <v>6</v>
      </c>
      <c r="D4" s="8">
        <f>C4/C2</f>
        <v>8.4507042253521125E-2</v>
      </c>
    </row>
  </sheetData>
  <pageMargins left="0.511811024" right="0.511811024" top="0.78740157499999996" bottom="0.78740157499999996" header="0.31496062000000002" footer="0.31496062000000002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00078c-d3eb-436f-b287-c570e1e30ec0" xsi:nil="true"/>
    <lcf76f155ced4ddcb4097134ff3c332f xmlns="1b04beef-6714-4461-bb03-a5c46a41fd0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DE4CB2CF3C90548A588F5FBF4FA9CF0" ma:contentTypeVersion="15" ma:contentTypeDescription="Crie um novo documento." ma:contentTypeScope="" ma:versionID="699e9daa865e3aa55335949f799a860f">
  <xsd:schema xmlns:xsd="http://www.w3.org/2001/XMLSchema" xmlns:xs="http://www.w3.org/2001/XMLSchema" xmlns:p="http://schemas.microsoft.com/office/2006/metadata/properties" xmlns:ns2="1b04beef-6714-4461-bb03-a5c46a41fd01" xmlns:ns3="8500078c-d3eb-436f-b287-c570e1e30ec0" targetNamespace="http://schemas.microsoft.com/office/2006/metadata/properties" ma:root="true" ma:fieldsID="41c79e0606d133c28c236b2668c6e84e" ns2:_="" ns3:_="">
    <xsd:import namespace="1b04beef-6714-4461-bb03-a5c46a41fd01"/>
    <xsd:import namespace="8500078c-d3eb-436f-b287-c570e1e30e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04beef-6714-4461-bb03-a5c46a41fd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91ca6734-0c51-4070-8d01-d2e28aa1cd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00078c-d3eb-436f-b287-c570e1e30ec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b3905c06-8d52-4156-a92f-1e4d4fa65eed}" ma:internalName="TaxCatchAll" ma:showField="CatchAllData" ma:web="8500078c-d3eb-436f-b287-c570e1e30e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0EA5D59-76B6-42EF-A2CD-6DCBB38EEA56}"/>
</file>

<file path=customXml/itemProps2.xml><?xml version="1.0" encoding="utf-8"?>
<ds:datastoreItem xmlns:ds="http://schemas.openxmlformats.org/officeDocument/2006/customXml" ds:itemID="{07D4E7E3-39FB-4F8B-B6E9-496FD2194790}"/>
</file>

<file path=customXml/itemProps3.xml><?xml version="1.0" encoding="utf-8"?>
<ds:datastoreItem xmlns:ds="http://schemas.openxmlformats.org/officeDocument/2006/customXml" ds:itemID="{022B5550-31B1-4FF0-BD14-3758CDFB30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Gabriel Fonseca Alves</dc:creator>
  <cp:keywords/>
  <dc:description/>
  <cp:lastModifiedBy>Sescinc GIG</cp:lastModifiedBy>
  <cp:revision/>
  <dcterms:created xsi:type="dcterms:W3CDTF">2025-08-01T17:12:09Z</dcterms:created>
  <dcterms:modified xsi:type="dcterms:W3CDTF">2026-05-26T10:52:58Z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0x0101003DE4CB2CF3C90548A588F5FBF4FA9CF0</vt:lpwstr>
  </property>
  <property fmtid="{D5CDD505-2E9C-101B-9397-08002B2CF9AE}" pid="3" name="MediaServiceImageTags">
    <vt:lpwstr/>
  </property>
</Properties>
</file>