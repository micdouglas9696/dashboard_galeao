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/>
  <mc:AlternateContent xmlns:mc="http://schemas.openxmlformats.org/markup-compatibility/2006">
    <mc:Choice Requires="x15">
      <x15ac:absPath xmlns:x15ac="http://schemas.microsoft.com/office/spreadsheetml/2010/11/ac" url="C:\Users\geferson.gilberto\Desktop\"/>
    </mc:Choice>
  </mc:AlternateContent>
  <xr:revisionPtr revIDLastSave="207" documentId="13_ncr:1_{4A2B98BB-11E6-4780-B193-09B0E050927B}" xr6:coauthVersionLast="47" xr6:coauthVersionMax="47" xr10:uidLastSave="{2DA02DAD-CB37-478F-96A1-6BF55CA763AB}"/>
  <bookViews>
    <workbookView xWindow="2976" yWindow="3084" windowWidth="14508" windowHeight="8880" xr2:uid="{00000000-000D-0000-FFFF-FFFF00000000}"/>
  </bookViews>
  <sheets>
    <sheet name="FEVEREIRO" sheetId="8" r:id="rId1"/>
    <sheet name="Gráfico" sheetId="9" r:id="rId2"/>
  </sheets>
  <definedNames>
    <definedName name="_xlnm._FilterDatabase" localSheetId="0" hidden="1">FEVEREIRO!$A$5:$I$77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5" i="8" l="1"/>
  <c r="I56" i="8"/>
  <c r="I57" i="8"/>
  <c r="I58" i="8"/>
  <c r="I59" i="8"/>
  <c r="I60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4" i="8"/>
  <c r="I45" i="8"/>
  <c r="I50" i="8"/>
  <c r="I43" i="8"/>
  <c r="I42" i="8"/>
  <c r="I46" i="8"/>
  <c r="I51" i="8"/>
  <c r="I47" i="8"/>
  <c r="I52" i="8"/>
  <c r="I48" i="8"/>
  <c r="I53" i="8"/>
  <c r="I49" i="8"/>
  <c r="I54" i="8"/>
  <c r="I4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61" i="8"/>
  <c r="D81" i="8" l="1"/>
  <c r="C4" i="9" s="1"/>
  <c r="C81" i="8"/>
  <c r="C3" i="9" s="1"/>
  <c r="C2" i="9" l="1"/>
  <c r="D3" i="9" s="1"/>
  <c r="D4" i="9" l="1"/>
</calcChain>
</file>

<file path=xl/sharedStrings.xml><?xml version="1.0" encoding="utf-8"?>
<sst xmlns="http://schemas.openxmlformats.org/spreadsheetml/2006/main" count="305" uniqueCount="122">
  <si>
    <t>AFERIÇÃO DO TESTE DE AVALIAÇÃO FISICA (TAF) - FEVEREIRO</t>
  </si>
  <si>
    <t>TAF</t>
  </si>
  <si>
    <t>NOME</t>
  </si>
  <si>
    <t>EQUIPE</t>
  </si>
  <si>
    <t>FUNÇÃO</t>
  </si>
  <si>
    <t>IDADE</t>
  </si>
  <si>
    <t>Flexão Solo</t>
  </si>
  <si>
    <t>Abdominal</t>
  </si>
  <si>
    <t>Barra Fixa</t>
  </si>
  <si>
    <t xml:space="preserve">Corrida </t>
  </si>
  <si>
    <t>Resultado</t>
  </si>
  <si>
    <t>BRUNO DOS SANTOS LEAL BLAS</t>
  </si>
  <si>
    <t>ALFA</t>
  </si>
  <si>
    <t>BA-LR</t>
  </si>
  <si>
    <t>2.465m</t>
  </si>
  <si>
    <t>RAFAEL RIBEIRO DE SIQUEIRA</t>
  </si>
  <si>
    <t>BA-MC</t>
  </si>
  <si>
    <t>2.450m</t>
  </si>
  <si>
    <t>HÉLIO ISMERIM DOS SANTOS</t>
  </si>
  <si>
    <t>BA2</t>
  </si>
  <si>
    <t>2.100m</t>
  </si>
  <si>
    <t>LUAN ALVES DOS SANTOS</t>
  </si>
  <si>
    <t>2.500m</t>
  </si>
  <si>
    <t>ALESSANDRO DA SILVA TEIXEIRA</t>
  </si>
  <si>
    <t>2.430m</t>
  </si>
  <si>
    <t>MAICON NEI ROCHA DA SILVA</t>
  </si>
  <si>
    <t>2.550m</t>
  </si>
  <si>
    <t>CARLOS ALBERTO BARBOSA DA SILVA</t>
  </si>
  <si>
    <t>2.600m</t>
  </si>
  <si>
    <t>RODRIGO FERNANDES JUCÁ E SILVA</t>
  </si>
  <si>
    <t>2.200m</t>
  </si>
  <si>
    <t>MICHELL SOARES DA CONCEIÇÃO</t>
  </si>
  <si>
    <t>YURE MALLET FONSECA</t>
  </si>
  <si>
    <t>PEDRO HENRIQUE TEIXEIRA DA SILVA</t>
  </si>
  <si>
    <t>HENRIQUE DE PINNA GOMES BRITTO</t>
  </si>
  <si>
    <t>RENATO CARREIRO MARTINS</t>
  </si>
  <si>
    <t>GESSILDO DA SILVA SOARES</t>
  </si>
  <si>
    <t>2.460m</t>
  </si>
  <si>
    <t>PAULO ROBERTO FERNANDES</t>
  </si>
  <si>
    <t>2.160m</t>
  </si>
  <si>
    <t>GERSON DA SILVA FERREIRA</t>
  </si>
  <si>
    <t>LUIZ FERNANDO VIEIRA PEREIRA E SILVA</t>
  </si>
  <si>
    <t>2.270m</t>
  </si>
  <si>
    <t>DANIEL OSÓRIO DE LIMA</t>
  </si>
  <si>
    <t>LUCIANO FERREIRA LOPES WANDERLEY</t>
  </si>
  <si>
    <t>THALES DOS SANTOS SILVA</t>
  </si>
  <si>
    <t>BA-CE</t>
  </si>
  <si>
    <t>ALAN RICARDO ALMEIDA SA SEVERO</t>
  </si>
  <si>
    <t>BRAVO</t>
  </si>
  <si>
    <t>2.000m</t>
  </si>
  <si>
    <t>ALBERT FERREIRA DA SILVA XARIFA</t>
  </si>
  <si>
    <t>2.400m</t>
  </si>
  <si>
    <t>ELIOMAR AGOSTINHO DA SILVA</t>
  </si>
  <si>
    <t>FABIO JUNIOR SANTOS BARCELLOS</t>
  </si>
  <si>
    <t>FERNANDO BATISTA DO NASCIMENTO</t>
  </si>
  <si>
    <t>BA MC</t>
  </si>
  <si>
    <t>GABRIEL FELIX DOS SANTOS LACOPO</t>
  </si>
  <si>
    <t>LEANDRO RODRIGUES DA SILVA</t>
  </si>
  <si>
    <t>BA MA</t>
  </si>
  <si>
    <t>MARCELO LEANDRO DE OLIVEIRA COUTINHO</t>
  </si>
  <si>
    <t>MARCOS VINICIUS SANTOS FIDELIS</t>
  </si>
  <si>
    <t>MAURÍCIO DE SOUZA OLIVEIRA</t>
  </si>
  <si>
    <t>BA RE</t>
  </si>
  <si>
    <t>PAULO RICARDO RIBEIRO KHATE E BRITO</t>
  </si>
  <si>
    <t>RAFAEL LUIZ DE ALMEIDA SOUZA</t>
  </si>
  <si>
    <t>BA LR</t>
  </si>
  <si>
    <t>RAMON SIEIA MEDEIROS</t>
  </si>
  <si>
    <t>BA CE</t>
  </si>
  <si>
    <t xml:space="preserve">SANDRO RAMOS PRADO </t>
  </si>
  <si>
    <t>YAGO ARINO DA ROCHA</t>
  </si>
  <si>
    <t>WENDEL DE OLIVEIRA SOARES</t>
  </si>
  <si>
    <t>CHARLIE</t>
  </si>
  <si>
    <t>MARCELO BARBOSA DE SOUZA</t>
  </si>
  <si>
    <t>2.420m</t>
  </si>
  <si>
    <t>LEANDRO DA ROCHA SANT´ANNA</t>
  </si>
  <si>
    <t>2.490m</t>
  </si>
  <si>
    <t>FABIO DE SOUZA FONSECA</t>
  </si>
  <si>
    <t>IGOR DA SILVA DO AMARAL</t>
  </si>
  <si>
    <t>MARCELO DOMINGOS CARUNCHO</t>
  </si>
  <si>
    <t>PAULO ROGÉRIO MARQUES MEDEIROS</t>
  </si>
  <si>
    <t>ROGERIO CERVO MOTTA</t>
  </si>
  <si>
    <t>THALES DIEGO SOARES FERREIRA</t>
  </si>
  <si>
    <t>2.800m</t>
  </si>
  <si>
    <t>FRANCISCO SIMÃO DE LIMA NETO SA</t>
  </si>
  <si>
    <t>LEANDRO RICARDO LIMA DE OLIVEIRA</t>
  </si>
  <si>
    <t>NIELSON SOUZA DE OLIVEIRA</t>
  </si>
  <si>
    <t>SALATIEL DOS SANTOS LUIZ GOULART</t>
  </si>
  <si>
    <t>RODRIGO ALVES DE SOUZA</t>
  </si>
  <si>
    <t>VINICIUS DOS SANTOS PIRES</t>
  </si>
  <si>
    <t>ÁTILA DE FREITAS NETO</t>
  </si>
  <si>
    <t>RICARDO GOMES MARINHO</t>
  </si>
  <si>
    <t>VAGNER DE OLIVEIRA RESENDE</t>
  </si>
  <si>
    <t>2.520m</t>
  </si>
  <si>
    <t>FLÁVIO EMANOEL SANTOS DE OLIVEIRA</t>
  </si>
  <si>
    <t>ALEX CORREA SANTANA</t>
  </si>
  <si>
    <t>ADRIANO NASSAR VALENÇA</t>
  </si>
  <si>
    <t>DELTA</t>
  </si>
  <si>
    <t>ANDRE JORGE DOS SANTOS</t>
  </si>
  <si>
    <t>BRUNO DA SILVA SANTOS</t>
  </si>
  <si>
    <t>DOUGLAS ARAÚJO DOS SANTOS</t>
  </si>
  <si>
    <t>DOUGLAS LEANDRO LOPES CARVALHO</t>
  </si>
  <si>
    <t>2.850m</t>
  </si>
  <si>
    <t>ÉDIPO FERNANDES DA SILVA</t>
  </si>
  <si>
    <t>2.750m</t>
  </si>
  <si>
    <t>EDSON COELHO DAVID</t>
  </si>
  <si>
    <t>2.900m</t>
  </si>
  <si>
    <t>LEANDRO RODRIGO SILVEIRA ROSA</t>
  </si>
  <si>
    <t>LEONARDO MONTEIRO DA SILVA</t>
  </si>
  <si>
    <t>LUCAS DIAS DE FARIAS</t>
  </si>
  <si>
    <t>MARCUS PAULO DA LUZ OLIVEIRA DA SILVEIRA</t>
  </si>
  <si>
    <t xml:space="preserve">RODRIGO DOS SANTOS FRANCO </t>
  </si>
  <si>
    <t>RODRIGO OLIVEIRA ALVES</t>
  </si>
  <si>
    <t>2.650m</t>
  </si>
  <si>
    <t>ROGER PEREIRA DA SILVA BARBOSA OZÓRIO</t>
  </si>
  <si>
    <t>SERGIO LUIZ DOS SANTOS JUNIOR</t>
  </si>
  <si>
    <t>WALLACE ALVES RODRIGO DA SILVA</t>
  </si>
  <si>
    <t>3.000m</t>
  </si>
  <si>
    <t>WESLEY DE CARVALHO CORREA</t>
  </si>
  <si>
    <t>Satisfatório</t>
  </si>
  <si>
    <t>Insatisfatório</t>
  </si>
  <si>
    <t>Total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</si>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</sst>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0"/>
      <color theme="1"/>
      <name val="Calibri"/>
      <family val="2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CCFF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2">
    <xf numFmtId="0" fontId="0" fillId="0" borderId="0" xfId="0"/>
    <xf numFmtId="0" fontId="5" fillId="5" borderId="2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21" fontId="5" fillId="5" borderId="1" xfId="1" applyNumberFormat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center" vertical="center"/>
    </xf>
    <xf numFmtId="21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21" fontId="12" fillId="3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21" fontId="12" fillId="0" borderId="1" xfId="0" applyNumberFormat="1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4" borderId="1" xfId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11" fillId="3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164" fontId="12" fillId="3" borderId="2" xfId="0" applyNumberFormat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5" fillId="4" borderId="5" xfId="1" applyFont="1" applyFill="1" applyBorder="1" applyAlignment="1">
      <alignment horizontal="center" vertical="center"/>
    </xf>
    <xf numFmtId="0" fontId="5" fillId="0" borderId="1" xfId="0" applyFont="1" applyBorder="1"/>
    <xf numFmtId="0" fontId="5" fillId="0" borderId="1" xfId="1" applyFont="1" applyBorder="1" applyAlignment="1">
      <alignment horizontal="left" vertical="center"/>
    </xf>
    <xf numFmtId="0" fontId="9" fillId="0" borderId="3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14" fontId="7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2"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Resultado Testes de Avaliação Física JANEIRO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B5C-4488-BD9A-348919A740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B5C-4488-BD9A-348919A7409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Gráfico!$B$3:$B$4</c:f>
              <c:strCache>
                <c:ptCount val="2"/>
                <c:pt idx="0">
                  <c:v>Satisfatório</c:v>
                </c:pt>
                <c:pt idx="1">
                  <c:v>Insatisfatório</c:v>
                </c:pt>
              </c:strCache>
            </c:strRef>
          </c:cat>
          <c:val>
            <c:numRef>
              <c:f>Gráfico!$D$3:$D$4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9C-4A37-A44C-15A75D346C5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133350</xdr:rowOff>
    </xdr:from>
    <xdr:to>
      <xdr:col>1</xdr:col>
      <xdr:colOff>219075</xdr:colOff>
      <xdr:row>3</xdr:row>
      <xdr:rowOff>31452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2AF847A-3257-45EF-9DA7-AE149212C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33350"/>
          <a:ext cx="2000250" cy="4696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5</xdr:row>
      <xdr:rowOff>14287</xdr:rowOff>
    </xdr:from>
    <xdr:to>
      <xdr:col>8</xdr:col>
      <xdr:colOff>9525</xdr:colOff>
      <xdr:row>19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DD0F55-CF75-117D-1574-0E0F192A47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3"/>
  <sheetViews>
    <sheetView tabSelected="1" zoomScale="70" zoomScaleNormal="70" workbookViewId="0">
      <selection activeCell="J5" sqref="J5"/>
    </sheetView>
  </sheetViews>
  <sheetFormatPr defaultColWidth="9.140625" defaultRowHeight="14.45"/>
  <cols>
    <col min="1" max="1" width="31.28515625" style="24" customWidth="1"/>
    <col min="2" max="2" width="12.140625" style="17" bestFit="1" customWidth="1"/>
    <col min="3" max="3" width="12.28515625" style="17" bestFit="1" customWidth="1"/>
    <col min="4" max="4" width="14" style="17" customWidth="1"/>
    <col min="5" max="5" width="14.28515625" style="17" bestFit="1" customWidth="1"/>
    <col min="6" max="6" width="14" style="17" bestFit="1" customWidth="1"/>
    <col min="7" max="7" width="13.140625" style="17" bestFit="1" customWidth="1"/>
    <col min="8" max="8" width="12.140625" style="17" bestFit="1" customWidth="1"/>
    <col min="9" max="9" width="13.28515625" style="17" bestFit="1" customWidth="1"/>
    <col min="10" max="10" width="21" style="17" bestFit="1" customWidth="1"/>
    <col min="11" max="16384" width="9.140625" style="17"/>
  </cols>
  <sheetData>
    <row r="1" spans="1:30" ht="15" customHeight="1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5"/>
    </row>
    <row r="2" spans="1:30" ht="15" customHeight="1">
      <c r="A2" s="38"/>
      <c r="B2" s="39"/>
      <c r="C2" s="39"/>
      <c r="D2" s="39"/>
      <c r="E2" s="39"/>
      <c r="F2" s="39"/>
      <c r="G2" s="39"/>
      <c r="H2" s="39"/>
      <c r="I2" s="39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5"/>
    </row>
    <row r="3" spans="1:30" ht="15" customHeight="1">
      <c r="A3" s="38"/>
      <c r="B3" s="39"/>
      <c r="C3" s="39"/>
      <c r="D3" s="39"/>
      <c r="E3" s="39"/>
      <c r="F3" s="39"/>
      <c r="G3" s="39"/>
      <c r="H3" s="39"/>
      <c r="I3" s="39"/>
      <c r="J3" s="5"/>
      <c r="K3" s="5"/>
      <c r="L3" s="40"/>
      <c r="M3" s="40"/>
      <c r="N3" s="40"/>
      <c r="O3" s="40"/>
      <c r="P3" s="15"/>
      <c r="Q3" s="15"/>
      <c r="R3" s="15"/>
      <c r="S3" s="40"/>
      <c r="T3" s="40"/>
      <c r="U3" s="40"/>
      <c r="V3" s="40"/>
      <c r="W3" s="15"/>
      <c r="X3" s="15"/>
      <c r="Y3" s="15"/>
      <c r="Z3" s="40"/>
      <c r="AA3" s="40"/>
      <c r="AB3" s="40"/>
      <c r="AC3" s="40"/>
      <c r="AD3" s="15"/>
    </row>
    <row r="4" spans="1:30" ht="15" customHeight="1">
      <c r="A4" s="38"/>
      <c r="B4" s="39"/>
      <c r="C4" s="39"/>
      <c r="D4" s="39"/>
      <c r="E4" s="39"/>
      <c r="F4" s="39"/>
      <c r="G4" s="39"/>
      <c r="H4" s="39"/>
      <c r="I4" s="39"/>
      <c r="J4" s="5"/>
      <c r="K4" s="5"/>
      <c r="L4" s="41"/>
      <c r="M4" s="41"/>
      <c r="N4" s="41"/>
      <c r="O4" s="41"/>
      <c r="P4" s="5"/>
      <c r="Q4" s="6"/>
      <c r="R4" s="6"/>
      <c r="S4" s="41"/>
      <c r="T4" s="41"/>
      <c r="U4" s="41"/>
      <c r="V4" s="41"/>
      <c r="W4" s="5"/>
      <c r="X4" s="6"/>
      <c r="Y4" s="6"/>
      <c r="Z4" s="41" t="s">
        <v>1</v>
      </c>
      <c r="AA4" s="41"/>
      <c r="AB4" s="41"/>
      <c r="AC4" s="41"/>
      <c r="AD4" s="15"/>
    </row>
    <row r="5" spans="1:30">
      <c r="A5" s="8" t="s">
        <v>2</v>
      </c>
      <c r="B5" s="7" t="s">
        <v>3</v>
      </c>
      <c r="C5" s="18" t="s">
        <v>4</v>
      </c>
      <c r="D5" s="18" t="s">
        <v>5</v>
      </c>
      <c r="E5" s="19" t="s">
        <v>6</v>
      </c>
      <c r="F5" s="19" t="s">
        <v>7</v>
      </c>
      <c r="G5" s="19" t="s">
        <v>8</v>
      </c>
      <c r="H5" s="19" t="s">
        <v>9</v>
      </c>
      <c r="I5" s="19" t="s">
        <v>10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 spans="1:30" ht="15">
      <c r="A6" s="32" t="s">
        <v>11</v>
      </c>
      <c r="B6" s="20" t="s">
        <v>12</v>
      </c>
      <c r="C6" s="2" t="s">
        <v>13</v>
      </c>
      <c r="D6" s="1">
        <v>35</v>
      </c>
      <c r="E6" s="9">
        <v>35</v>
      </c>
      <c r="F6" s="9">
        <v>50</v>
      </c>
      <c r="G6" s="9">
        <v>3</v>
      </c>
      <c r="H6" s="10" t="s">
        <v>14</v>
      </c>
      <c r="I6" s="11" t="str">
        <f t="shared" ref="I6:I55" si="0">IF(AND(E6&gt;=IF(D6&gt;40,15,20),
      F6&gt;=IF(D6&gt;40,30,35),
      G6&gt;=1,
      H6&gt;=IF(D6&gt;40,2000,2400)),
   "Satisfatório",
   "Insatisfatório")</f>
        <v>Satisfatório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 spans="1:30" ht="15">
      <c r="A7" s="30" t="s">
        <v>15</v>
      </c>
      <c r="B7" s="20" t="s">
        <v>12</v>
      </c>
      <c r="C7" s="2" t="s">
        <v>16</v>
      </c>
      <c r="D7" s="2">
        <v>34</v>
      </c>
      <c r="E7" s="11">
        <v>30</v>
      </c>
      <c r="F7" s="11">
        <v>38</v>
      </c>
      <c r="G7" s="11">
        <v>5</v>
      </c>
      <c r="H7" s="12" t="s">
        <v>17</v>
      </c>
      <c r="I7" s="11" t="str">
        <f t="shared" si="0"/>
        <v>Satisfatório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spans="1:30" ht="15">
      <c r="A8" s="30" t="s">
        <v>18</v>
      </c>
      <c r="B8" s="20" t="s">
        <v>12</v>
      </c>
      <c r="C8" s="2" t="s">
        <v>19</v>
      </c>
      <c r="D8" s="2">
        <v>55</v>
      </c>
      <c r="E8" s="11">
        <v>25</v>
      </c>
      <c r="F8" s="11">
        <v>40</v>
      </c>
      <c r="G8" s="11">
        <v>3</v>
      </c>
      <c r="H8" s="12" t="s">
        <v>20</v>
      </c>
      <c r="I8" s="11" t="str">
        <f t="shared" si="0"/>
        <v>Satisfatório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spans="1:30" ht="15">
      <c r="A9" s="30" t="s">
        <v>21</v>
      </c>
      <c r="B9" s="20" t="s">
        <v>12</v>
      </c>
      <c r="C9" s="2" t="s">
        <v>19</v>
      </c>
      <c r="D9" s="2">
        <v>31</v>
      </c>
      <c r="E9" s="11">
        <v>20</v>
      </c>
      <c r="F9" s="11">
        <v>38</v>
      </c>
      <c r="G9" s="11">
        <v>3</v>
      </c>
      <c r="H9" s="12" t="s">
        <v>22</v>
      </c>
      <c r="I9" s="11" t="str">
        <f t="shared" si="0"/>
        <v>Satisfatório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spans="1:30" ht="15">
      <c r="A10" s="30" t="s">
        <v>23</v>
      </c>
      <c r="B10" s="20" t="s">
        <v>12</v>
      </c>
      <c r="C10" s="2" t="s">
        <v>19</v>
      </c>
      <c r="D10" s="2">
        <v>45</v>
      </c>
      <c r="E10" s="11">
        <v>20</v>
      </c>
      <c r="F10" s="11">
        <v>40</v>
      </c>
      <c r="G10" s="11">
        <v>3</v>
      </c>
      <c r="H10" s="12" t="s">
        <v>24</v>
      </c>
      <c r="I10" s="11" t="str">
        <f t="shared" si="0"/>
        <v>Satisfatório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spans="1:30" ht="15">
      <c r="A11" s="30" t="s">
        <v>25</v>
      </c>
      <c r="B11" s="20" t="s">
        <v>12</v>
      </c>
      <c r="C11" s="2" t="s">
        <v>19</v>
      </c>
      <c r="D11" s="2">
        <v>40</v>
      </c>
      <c r="E11" s="11">
        <v>20</v>
      </c>
      <c r="F11" s="11">
        <v>40</v>
      </c>
      <c r="G11" s="11">
        <v>3</v>
      </c>
      <c r="H11" s="12" t="s">
        <v>26</v>
      </c>
      <c r="I11" s="11" t="str">
        <f t="shared" si="0"/>
        <v>Satisfatório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spans="1:30" ht="15">
      <c r="A12" s="30" t="s">
        <v>27</v>
      </c>
      <c r="B12" s="20" t="s">
        <v>12</v>
      </c>
      <c r="C12" s="2" t="s">
        <v>19</v>
      </c>
      <c r="D12" s="2">
        <v>42</v>
      </c>
      <c r="E12" s="11">
        <v>30</v>
      </c>
      <c r="F12" s="11">
        <v>45</v>
      </c>
      <c r="G12" s="11">
        <v>3</v>
      </c>
      <c r="H12" s="12" t="s">
        <v>28</v>
      </c>
      <c r="I12" s="11" t="str">
        <f t="shared" si="0"/>
        <v>Satisfatório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spans="1:30" ht="15">
      <c r="A13" s="30" t="s">
        <v>29</v>
      </c>
      <c r="B13" s="20" t="s">
        <v>12</v>
      </c>
      <c r="C13" s="2" t="s">
        <v>16</v>
      </c>
      <c r="D13" s="2">
        <v>45</v>
      </c>
      <c r="E13" s="11">
        <v>30</v>
      </c>
      <c r="F13" s="11">
        <v>38</v>
      </c>
      <c r="G13" s="11">
        <v>3</v>
      </c>
      <c r="H13" s="12" t="s">
        <v>30</v>
      </c>
      <c r="I13" s="11" t="str">
        <f t="shared" si="0"/>
        <v>Satisfatório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spans="1:30" ht="15">
      <c r="A14" s="30" t="s">
        <v>31</v>
      </c>
      <c r="B14" s="20" t="s">
        <v>12</v>
      </c>
      <c r="C14" s="2" t="s">
        <v>16</v>
      </c>
      <c r="D14" s="2">
        <v>35</v>
      </c>
      <c r="E14" s="11">
        <v>40</v>
      </c>
      <c r="F14" s="11">
        <v>40</v>
      </c>
      <c r="G14" s="11">
        <v>5</v>
      </c>
      <c r="H14" s="12" t="s">
        <v>26</v>
      </c>
      <c r="I14" s="11" t="str">
        <f t="shared" si="0"/>
        <v>Satisfatório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 spans="1:30" ht="15">
      <c r="A15" s="30" t="s">
        <v>32</v>
      </c>
      <c r="B15" s="20" t="s">
        <v>12</v>
      </c>
      <c r="C15" s="2" t="s">
        <v>19</v>
      </c>
      <c r="D15" s="2">
        <v>29</v>
      </c>
      <c r="E15" s="11">
        <v>21</v>
      </c>
      <c r="F15" s="11">
        <v>38</v>
      </c>
      <c r="G15" s="11">
        <v>4</v>
      </c>
      <c r="H15" s="12" t="s">
        <v>17</v>
      </c>
      <c r="I15" s="11" t="str">
        <f t="shared" si="0"/>
        <v>Satisfatório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 spans="1:30" ht="15">
      <c r="A16" s="30" t="s">
        <v>33</v>
      </c>
      <c r="B16" s="20" t="s">
        <v>12</v>
      </c>
      <c r="C16" s="2" t="s">
        <v>19</v>
      </c>
      <c r="D16" s="2">
        <v>35</v>
      </c>
      <c r="E16" s="11">
        <v>30</v>
      </c>
      <c r="F16" s="11">
        <v>38</v>
      </c>
      <c r="G16" s="11">
        <v>3</v>
      </c>
      <c r="H16" s="12" t="s">
        <v>28</v>
      </c>
      <c r="I16" s="11" t="str">
        <f t="shared" si="0"/>
        <v>Satisfatório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spans="1:30" ht="15">
      <c r="A17" s="30" t="s">
        <v>34</v>
      </c>
      <c r="B17" s="20" t="s">
        <v>12</v>
      </c>
      <c r="C17" s="2" t="s">
        <v>19</v>
      </c>
      <c r="D17" s="2">
        <v>33</v>
      </c>
      <c r="E17" s="11">
        <v>30</v>
      </c>
      <c r="F17" s="11">
        <v>42</v>
      </c>
      <c r="G17" s="11">
        <v>3</v>
      </c>
      <c r="H17" s="12" t="s">
        <v>17</v>
      </c>
      <c r="I17" s="11" t="str">
        <f t="shared" si="0"/>
        <v>Satisfatório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spans="1:30" ht="15">
      <c r="A18" s="30" t="s">
        <v>35</v>
      </c>
      <c r="B18" s="20" t="s">
        <v>12</v>
      </c>
      <c r="C18" s="2" t="s">
        <v>19</v>
      </c>
      <c r="D18" s="2">
        <v>37</v>
      </c>
      <c r="E18" s="11">
        <v>30</v>
      </c>
      <c r="F18" s="11">
        <v>42</v>
      </c>
      <c r="G18" s="11">
        <v>6</v>
      </c>
      <c r="H18" s="12" t="s">
        <v>17</v>
      </c>
      <c r="I18" s="11" t="str">
        <f t="shared" si="0"/>
        <v>Satisfatório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spans="1:30" ht="15">
      <c r="A19" s="30" t="s">
        <v>36</v>
      </c>
      <c r="B19" s="20" t="s">
        <v>12</v>
      </c>
      <c r="C19" s="2" t="s">
        <v>16</v>
      </c>
      <c r="D19" s="2">
        <v>33</v>
      </c>
      <c r="E19" s="11">
        <v>20</v>
      </c>
      <c r="F19" s="11">
        <v>38</v>
      </c>
      <c r="G19" s="11">
        <v>4</v>
      </c>
      <c r="H19" s="12" t="s">
        <v>37</v>
      </c>
      <c r="I19" s="11" t="str">
        <f t="shared" si="0"/>
        <v>Satisfatório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spans="1:30" ht="15">
      <c r="A20" s="30" t="s">
        <v>38</v>
      </c>
      <c r="B20" s="20" t="s">
        <v>12</v>
      </c>
      <c r="C20" s="2" t="s">
        <v>16</v>
      </c>
      <c r="D20" s="2">
        <v>54</v>
      </c>
      <c r="E20" s="11">
        <v>25</v>
      </c>
      <c r="F20" s="11">
        <v>30</v>
      </c>
      <c r="G20" s="11">
        <v>2</v>
      </c>
      <c r="H20" s="12" t="s">
        <v>39</v>
      </c>
      <c r="I20" s="11" t="str">
        <f t="shared" si="0"/>
        <v>Satisfatório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spans="1:30" ht="15">
      <c r="A21" s="30" t="s">
        <v>40</v>
      </c>
      <c r="B21" s="20" t="s">
        <v>12</v>
      </c>
      <c r="C21" s="2" t="s">
        <v>19</v>
      </c>
      <c r="D21" s="2">
        <v>34</v>
      </c>
      <c r="E21" s="11">
        <v>30</v>
      </c>
      <c r="F21" s="11">
        <v>39</v>
      </c>
      <c r="G21" s="11">
        <v>4</v>
      </c>
      <c r="H21" s="12" t="s">
        <v>17</v>
      </c>
      <c r="I21" s="11" t="str">
        <f t="shared" si="0"/>
        <v>Satisfatório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spans="1:30" ht="15">
      <c r="A22" s="30" t="s">
        <v>41</v>
      </c>
      <c r="B22" s="20" t="s">
        <v>12</v>
      </c>
      <c r="C22" s="2" t="s">
        <v>19</v>
      </c>
      <c r="D22" s="2">
        <v>35</v>
      </c>
      <c r="E22" s="11">
        <v>20</v>
      </c>
      <c r="F22" s="11">
        <v>38</v>
      </c>
      <c r="G22" s="11">
        <v>2</v>
      </c>
      <c r="H22" s="12" t="s">
        <v>42</v>
      </c>
      <c r="I22" s="11" t="str">
        <f t="shared" si="0"/>
        <v>Satisfatório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spans="1:30" ht="15">
      <c r="A23" s="32" t="s">
        <v>43</v>
      </c>
      <c r="B23" s="20" t="s">
        <v>12</v>
      </c>
      <c r="C23" s="2" t="s">
        <v>19</v>
      </c>
      <c r="D23" s="1">
        <v>35</v>
      </c>
      <c r="E23" s="9">
        <v>40</v>
      </c>
      <c r="F23" s="9">
        <v>40</v>
      </c>
      <c r="G23" s="9">
        <v>6</v>
      </c>
      <c r="H23" s="31" t="s">
        <v>17</v>
      </c>
      <c r="I23" s="11" t="str">
        <f t="shared" si="0"/>
        <v>Satisfatório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spans="1:30" ht="15">
      <c r="A24" s="33" t="s">
        <v>44</v>
      </c>
      <c r="B24" s="20" t="s">
        <v>12</v>
      </c>
      <c r="C24" s="2" t="s">
        <v>19</v>
      </c>
      <c r="D24" s="2">
        <v>22</v>
      </c>
      <c r="E24" s="11">
        <v>30</v>
      </c>
      <c r="F24" s="11">
        <v>40</v>
      </c>
      <c r="G24" s="11">
        <v>7</v>
      </c>
      <c r="H24" s="12" t="s">
        <v>14</v>
      </c>
      <c r="I24" s="11" t="str">
        <f t="shared" si="0"/>
        <v>Satisfatório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spans="1:30" ht="15">
      <c r="A25" s="30" t="s">
        <v>45</v>
      </c>
      <c r="B25" s="20" t="s">
        <v>12</v>
      </c>
      <c r="C25" s="2" t="s">
        <v>46</v>
      </c>
      <c r="D25" s="2">
        <v>38</v>
      </c>
      <c r="E25" s="11">
        <v>30</v>
      </c>
      <c r="F25" s="11">
        <v>45</v>
      </c>
      <c r="G25" s="11">
        <v>5</v>
      </c>
      <c r="H25" s="12" t="s">
        <v>28</v>
      </c>
      <c r="I25" s="11" t="str">
        <f t="shared" si="0"/>
        <v>Satisfatório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spans="1:30" ht="15">
      <c r="A26" s="30" t="s">
        <v>47</v>
      </c>
      <c r="B26" s="20" t="s">
        <v>48</v>
      </c>
      <c r="C26" s="2" t="s">
        <v>19</v>
      </c>
      <c r="D26" s="2">
        <v>40</v>
      </c>
      <c r="E26" s="11">
        <v>30</v>
      </c>
      <c r="F26" s="11">
        <v>40</v>
      </c>
      <c r="G26" s="11">
        <v>15</v>
      </c>
      <c r="H26" s="12" t="s">
        <v>49</v>
      </c>
      <c r="I26" s="11" t="str">
        <f t="shared" si="0"/>
        <v>Satisfatório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spans="1:30" ht="15">
      <c r="A27" s="30" t="s">
        <v>50</v>
      </c>
      <c r="B27" s="20" t="s">
        <v>48</v>
      </c>
      <c r="C27" s="2" t="s">
        <v>19</v>
      </c>
      <c r="D27" s="2">
        <v>33</v>
      </c>
      <c r="E27" s="11">
        <v>50</v>
      </c>
      <c r="F27" s="11">
        <v>45</v>
      </c>
      <c r="G27" s="11">
        <v>10</v>
      </c>
      <c r="H27" s="12" t="s">
        <v>51</v>
      </c>
      <c r="I27" s="11" t="str">
        <f t="shared" si="0"/>
        <v>Satisfatório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spans="1:30" ht="15">
      <c r="A28" s="30" t="s">
        <v>52</v>
      </c>
      <c r="B28" s="20" t="s">
        <v>48</v>
      </c>
      <c r="C28" s="2" t="s">
        <v>19</v>
      </c>
      <c r="D28" s="2">
        <v>51</v>
      </c>
      <c r="E28" s="11">
        <v>22</v>
      </c>
      <c r="F28" s="11">
        <v>40</v>
      </c>
      <c r="G28" s="11">
        <v>2</v>
      </c>
      <c r="H28" s="12" t="s">
        <v>49</v>
      </c>
      <c r="I28" s="11" t="str">
        <f t="shared" si="0"/>
        <v>Satisfatório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spans="1:30" ht="15">
      <c r="A29" s="30" t="s">
        <v>53</v>
      </c>
      <c r="B29" s="20" t="s">
        <v>48</v>
      </c>
      <c r="C29" s="2" t="s">
        <v>19</v>
      </c>
      <c r="D29" s="2">
        <v>44</v>
      </c>
      <c r="E29" s="11">
        <v>35</v>
      </c>
      <c r="F29" s="11">
        <v>38</v>
      </c>
      <c r="G29" s="11">
        <v>9</v>
      </c>
      <c r="H29" s="12" t="s">
        <v>49</v>
      </c>
      <c r="I29" s="11" t="str">
        <f t="shared" si="0"/>
        <v>Satisfatório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spans="1:30" ht="15">
      <c r="A30" s="30" t="s">
        <v>54</v>
      </c>
      <c r="B30" s="20" t="s">
        <v>48</v>
      </c>
      <c r="C30" s="2" t="s">
        <v>55</v>
      </c>
      <c r="D30" s="2">
        <v>35</v>
      </c>
      <c r="E30" s="11">
        <v>38</v>
      </c>
      <c r="F30" s="11">
        <v>40</v>
      </c>
      <c r="G30" s="11">
        <v>3</v>
      </c>
      <c r="H30" s="12" t="s">
        <v>51</v>
      </c>
      <c r="I30" s="11" t="str">
        <f t="shared" si="0"/>
        <v>Satisfatório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spans="1:30" ht="15">
      <c r="A31" s="30" t="s">
        <v>56</v>
      </c>
      <c r="B31" s="20" t="s">
        <v>48</v>
      </c>
      <c r="C31" s="2" t="s">
        <v>19</v>
      </c>
      <c r="D31" s="2">
        <v>31</v>
      </c>
      <c r="E31" s="11">
        <v>30</v>
      </c>
      <c r="F31" s="11">
        <v>45</v>
      </c>
      <c r="G31" s="11">
        <v>10</v>
      </c>
      <c r="H31" s="12" t="s">
        <v>51</v>
      </c>
      <c r="I31" s="11" t="str">
        <f t="shared" si="0"/>
        <v>Satisfatório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spans="1:30" ht="15">
      <c r="A32" s="30" t="s">
        <v>57</v>
      </c>
      <c r="B32" s="20" t="s">
        <v>48</v>
      </c>
      <c r="C32" s="2" t="s">
        <v>58</v>
      </c>
      <c r="D32" s="2">
        <v>40</v>
      </c>
      <c r="E32" s="11">
        <v>40</v>
      </c>
      <c r="F32" s="11">
        <v>48</v>
      </c>
      <c r="G32" s="11">
        <v>8</v>
      </c>
      <c r="H32" s="12" t="s">
        <v>49</v>
      </c>
      <c r="I32" s="11" t="str">
        <f t="shared" si="0"/>
        <v>Satisfatório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spans="1:30" ht="15">
      <c r="A33" s="30" t="s">
        <v>59</v>
      </c>
      <c r="B33" s="20" t="s">
        <v>48</v>
      </c>
      <c r="C33" s="2" t="s">
        <v>19</v>
      </c>
      <c r="D33" s="2">
        <v>38</v>
      </c>
      <c r="E33" s="11">
        <v>35</v>
      </c>
      <c r="F33" s="11">
        <v>40</v>
      </c>
      <c r="G33" s="11">
        <v>5</v>
      </c>
      <c r="H33" s="12" t="s">
        <v>51</v>
      </c>
      <c r="I33" s="11" t="str">
        <f t="shared" si="0"/>
        <v>Satisfatório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spans="1:30" ht="15">
      <c r="A34" s="30" t="s">
        <v>60</v>
      </c>
      <c r="B34" s="20" t="s">
        <v>48</v>
      </c>
      <c r="C34" s="2" t="s">
        <v>55</v>
      </c>
      <c r="D34" s="2">
        <v>32</v>
      </c>
      <c r="E34" s="11">
        <v>40</v>
      </c>
      <c r="F34" s="11">
        <v>45</v>
      </c>
      <c r="G34" s="11">
        <v>10</v>
      </c>
      <c r="H34" s="12" t="s">
        <v>51</v>
      </c>
      <c r="I34" s="11" t="str">
        <f t="shared" si="0"/>
        <v>Satisfatório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spans="1:30" ht="15">
      <c r="A35" s="30" t="s">
        <v>61</v>
      </c>
      <c r="B35" s="20" t="s">
        <v>48</v>
      </c>
      <c r="C35" s="2" t="s">
        <v>62</v>
      </c>
      <c r="D35" s="2">
        <v>57</v>
      </c>
      <c r="E35" s="11">
        <v>25</v>
      </c>
      <c r="F35" s="11">
        <v>35</v>
      </c>
      <c r="G35" s="11">
        <v>3</v>
      </c>
      <c r="H35" s="12" t="s">
        <v>49</v>
      </c>
      <c r="I35" s="11" t="str">
        <f t="shared" si="0"/>
        <v>Satisfatório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spans="1:30" ht="15">
      <c r="A36" s="30" t="s">
        <v>63</v>
      </c>
      <c r="B36" s="20" t="s">
        <v>48</v>
      </c>
      <c r="C36" s="2" t="s">
        <v>55</v>
      </c>
      <c r="D36" s="2">
        <v>34</v>
      </c>
      <c r="E36" s="11">
        <v>30</v>
      </c>
      <c r="F36" s="11">
        <v>40</v>
      </c>
      <c r="G36" s="11">
        <v>3</v>
      </c>
      <c r="H36" s="12" t="s">
        <v>51</v>
      </c>
      <c r="I36" s="11" t="str">
        <f t="shared" si="0"/>
        <v>Satisfatório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spans="1:30" ht="15">
      <c r="A37" s="30" t="s">
        <v>64</v>
      </c>
      <c r="B37" s="20" t="s">
        <v>48</v>
      </c>
      <c r="C37" s="2" t="s">
        <v>65</v>
      </c>
      <c r="D37" s="2">
        <v>28</v>
      </c>
      <c r="E37" s="11">
        <v>37</v>
      </c>
      <c r="F37" s="11">
        <v>45</v>
      </c>
      <c r="G37" s="11">
        <v>5</v>
      </c>
      <c r="H37" s="12" t="s">
        <v>51</v>
      </c>
      <c r="I37" s="11" t="str">
        <f t="shared" si="0"/>
        <v>Satisfatório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spans="1:30" ht="15">
      <c r="A38" s="32" t="s">
        <v>66</v>
      </c>
      <c r="B38" s="20" t="s">
        <v>48</v>
      </c>
      <c r="C38" s="1" t="s">
        <v>67</v>
      </c>
      <c r="D38" s="1">
        <v>34</v>
      </c>
      <c r="E38" s="9">
        <v>40</v>
      </c>
      <c r="F38" s="9">
        <v>45</v>
      </c>
      <c r="G38" s="9">
        <v>10</v>
      </c>
      <c r="H38" s="12" t="s">
        <v>51</v>
      </c>
      <c r="I38" s="11" t="str">
        <f t="shared" si="0"/>
        <v>Satisfatório</v>
      </c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spans="1:30" ht="15">
      <c r="A39" s="30" t="s">
        <v>68</v>
      </c>
      <c r="B39" s="20" t="s">
        <v>48</v>
      </c>
      <c r="C39" s="2" t="s">
        <v>55</v>
      </c>
      <c r="D39" s="2">
        <v>49</v>
      </c>
      <c r="E39" s="11">
        <v>20</v>
      </c>
      <c r="F39" s="11">
        <v>30</v>
      </c>
      <c r="G39" s="11">
        <v>1</v>
      </c>
      <c r="H39" s="12" t="s">
        <v>49</v>
      </c>
      <c r="I39" s="11" t="str">
        <f t="shared" si="0"/>
        <v>Satisfatório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spans="1:30" ht="15">
      <c r="A40" s="30" t="s">
        <v>69</v>
      </c>
      <c r="B40" s="20" t="s">
        <v>48</v>
      </c>
      <c r="C40" s="2" t="s">
        <v>19</v>
      </c>
      <c r="D40" s="2">
        <v>33</v>
      </c>
      <c r="E40" s="11">
        <v>40</v>
      </c>
      <c r="F40" s="11">
        <v>45</v>
      </c>
      <c r="G40" s="11">
        <v>15</v>
      </c>
      <c r="H40" s="12" t="s">
        <v>51</v>
      </c>
      <c r="I40" s="11" t="str">
        <f t="shared" si="0"/>
        <v>Satisfatório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spans="1:30" ht="15">
      <c r="A41" s="30" t="s">
        <v>70</v>
      </c>
      <c r="B41" s="20" t="s">
        <v>71</v>
      </c>
      <c r="C41" s="2" t="s">
        <v>67</v>
      </c>
      <c r="D41" s="2">
        <v>36</v>
      </c>
      <c r="E41" s="11">
        <v>35</v>
      </c>
      <c r="F41" s="11">
        <v>50</v>
      </c>
      <c r="G41" s="11">
        <v>3</v>
      </c>
      <c r="H41" s="12" t="s">
        <v>51</v>
      </c>
      <c r="I41" s="11" t="str">
        <f>IF(AND(E41&gt;=IF(D41&gt;40,15,20),
      F41&gt;=IF(D41&gt;40,30,35),
      G41&gt;=1,
      H41&gt;=IF(D41&gt;40,2000,2400)),
   "Satisfatório",
   "Insatisfatório")</f>
        <v>Satisfatório</v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spans="1:30" ht="15">
      <c r="A42" s="30" t="s">
        <v>72</v>
      </c>
      <c r="B42" s="20" t="s">
        <v>71</v>
      </c>
      <c r="C42" s="2" t="s">
        <v>65</v>
      </c>
      <c r="D42" s="2">
        <v>48</v>
      </c>
      <c r="E42" s="11">
        <v>20</v>
      </c>
      <c r="F42" s="11">
        <v>38</v>
      </c>
      <c r="G42" s="11">
        <v>3</v>
      </c>
      <c r="H42" s="12" t="s">
        <v>73</v>
      </c>
      <c r="I42" s="11" t="str">
        <f>IF(AND(E42&gt;=IF(D42&gt;40,15,20),
      F42&gt;=IF(D42&gt;40,30,35),
      G42&gt;=1,
      H42&gt;=IF(D42&gt;40,2000,2400)),
   "Satisfatório",
   "Insatisfatório")</f>
        <v>Satisfatório</v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spans="1:30" ht="15">
      <c r="A43" s="30" t="s">
        <v>74</v>
      </c>
      <c r="B43" s="20" t="s">
        <v>71</v>
      </c>
      <c r="C43" s="2" t="s">
        <v>58</v>
      </c>
      <c r="D43" s="2">
        <v>31</v>
      </c>
      <c r="E43" s="11">
        <v>20</v>
      </c>
      <c r="F43" s="11">
        <v>38</v>
      </c>
      <c r="G43" s="11">
        <v>3</v>
      </c>
      <c r="H43" s="12" t="s">
        <v>75</v>
      </c>
      <c r="I43" s="11" t="str">
        <f>IF(AND(E43&gt;=IF(D43&gt;40,15,20),
      F43&gt;=IF(D43&gt;40,30,35),
      G43&gt;=1,
      H43&gt;=IF(D43&gt;40,2000,2400)),
   "Satisfatório",
   "Insatisfatório")</f>
        <v>Satisfatório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spans="1:30" ht="15">
      <c r="A44" s="30" t="s">
        <v>76</v>
      </c>
      <c r="B44" s="20" t="s">
        <v>71</v>
      </c>
      <c r="C44" s="2" t="s">
        <v>55</v>
      </c>
      <c r="D44" s="2">
        <v>39</v>
      </c>
      <c r="E44" s="11">
        <v>20</v>
      </c>
      <c r="F44" s="11">
        <v>38</v>
      </c>
      <c r="G44" s="11">
        <v>3</v>
      </c>
      <c r="H44" s="12" t="s">
        <v>73</v>
      </c>
      <c r="I44" s="11" t="str">
        <f>IF(AND(E44&gt;=IF(D44&gt;40,15,20),
      F44&gt;=IF(D44&gt;40,30,35),
      G44&gt;=1,
      H44&gt;=IF(D44&gt;40,2000,2400)),
   "Satisfatório",
   "Insatisfatório")</f>
        <v>Satisfatório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spans="1:30">
      <c r="A45" s="30" t="s">
        <v>77</v>
      </c>
      <c r="B45" s="20" t="s">
        <v>71</v>
      </c>
      <c r="C45" s="2" t="s">
        <v>55</v>
      </c>
      <c r="D45" s="2">
        <v>37</v>
      </c>
      <c r="E45" s="11">
        <v>20</v>
      </c>
      <c r="F45" s="11">
        <v>38</v>
      </c>
      <c r="G45" s="11">
        <v>3</v>
      </c>
      <c r="H45" s="12" t="s">
        <v>28</v>
      </c>
      <c r="I45" s="11" t="str">
        <f>IF(AND(E45&gt;=IF(D45&gt;40,15,20),
      F45&gt;=IF(D45&gt;40,30,35),
      G45&gt;=1,
      H45&gt;=IF(D45&gt;40,2000,2400)),
   "Satisfatório",
   "Insatisfatório")</f>
        <v>Satisfatório</v>
      </c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spans="1:30">
      <c r="A46" s="30" t="s">
        <v>78</v>
      </c>
      <c r="B46" s="20" t="s">
        <v>71</v>
      </c>
      <c r="C46" s="2" t="s">
        <v>55</v>
      </c>
      <c r="D46" s="2">
        <v>58</v>
      </c>
      <c r="E46" s="11">
        <v>21</v>
      </c>
      <c r="F46" s="11">
        <v>38</v>
      </c>
      <c r="G46" s="11">
        <v>2</v>
      </c>
      <c r="H46" s="12" t="s">
        <v>49</v>
      </c>
      <c r="I46" s="11" t="str">
        <f>IF(AND(E46&gt;=IF(D46&gt;40,15,20),
      F46&gt;=IF(D46&gt;40,30,35),
      G46&gt;=1,
      H46&gt;=IF(D46&gt;40,2000,2400)),
   "Satisfatório",
   "Insatisfatório")</f>
        <v>Satisfatório</v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spans="1:30">
      <c r="A47" s="30" t="s">
        <v>79</v>
      </c>
      <c r="B47" s="20" t="s">
        <v>71</v>
      </c>
      <c r="C47" s="2" t="s">
        <v>55</v>
      </c>
      <c r="D47" s="2">
        <v>45</v>
      </c>
      <c r="E47" s="11">
        <v>25</v>
      </c>
      <c r="F47" s="11">
        <v>38</v>
      </c>
      <c r="G47" s="11">
        <v>2</v>
      </c>
      <c r="H47" s="12" t="s">
        <v>49</v>
      </c>
      <c r="I47" s="11" t="str">
        <f>IF(AND(E47&gt;=IF(D47&gt;40,15,20),
      F47&gt;=IF(D47&gt;40,30,35),
      G47&gt;=1,
      H47&gt;=IF(D47&gt;40,2000,2400)),
   "Satisfatório",
   "Insatisfatório")</f>
        <v>Satisfatório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spans="1:30">
      <c r="A48" s="30" t="s">
        <v>80</v>
      </c>
      <c r="B48" s="20" t="s">
        <v>71</v>
      </c>
      <c r="C48" s="2" t="s">
        <v>55</v>
      </c>
      <c r="D48" s="2">
        <v>54</v>
      </c>
      <c r="E48" s="11">
        <v>20</v>
      </c>
      <c r="F48" s="11">
        <v>38</v>
      </c>
      <c r="G48" s="11">
        <v>3</v>
      </c>
      <c r="H48" s="12" t="s">
        <v>17</v>
      </c>
      <c r="I48" s="11" t="str">
        <f>IF(AND(E48&gt;=IF(D48&gt;40,15,20),
      F48&gt;=IF(D48&gt;40,30,35),
      G48&gt;=1,
      H48&gt;=IF(D48&gt;40,2000,2400)),
   "Satisfatório",
   "Insatisfatório")</f>
        <v>Satisfatório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spans="1:30">
      <c r="A49" s="34" t="s">
        <v>81</v>
      </c>
      <c r="B49" s="20" t="s">
        <v>71</v>
      </c>
      <c r="C49" s="2" t="s">
        <v>62</v>
      </c>
      <c r="D49" s="2">
        <v>36</v>
      </c>
      <c r="E49" s="11">
        <v>20</v>
      </c>
      <c r="F49" s="11">
        <v>38</v>
      </c>
      <c r="G49" s="11">
        <v>3</v>
      </c>
      <c r="H49" s="12" t="s">
        <v>82</v>
      </c>
      <c r="I49" s="11" t="str">
        <f>IF(AND(E49&gt;=IF(D49&gt;40,15,20),
      F49&gt;=IF(D49&gt;40,30,35),
      G49&gt;=1,
      H49&gt;=IF(D49&gt;40,2000,2400)),
   "Satisfatório",
   "Insatisfatório")</f>
        <v>Satisfatório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spans="1:30" ht="15">
      <c r="A50" s="36" t="s">
        <v>83</v>
      </c>
      <c r="B50" s="20" t="s">
        <v>71</v>
      </c>
      <c r="C50" s="2" t="s">
        <v>62</v>
      </c>
      <c r="D50" s="2">
        <v>31</v>
      </c>
      <c r="E50" s="11">
        <v>50</v>
      </c>
      <c r="F50" s="11">
        <v>38</v>
      </c>
      <c r="G50" s="11">
        <v>3</v>
      </c>
      <c r="H50" s="12" t="s">
        <v>82</v>
      </c>
      <c r="I50" s="11" t="str">
        <f>IF(AND(E50&gt;=IF(D50&gt;40,15,20),
      F50&gt;=IF(D50&gt;40,30,35),
      G50&gt;=1,
      H50&gt;=IF(D50&gt;40,2000,2400)),
   "Satisfatório",
   "Insatisfatório")</f>
        <v>Satisfatório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spans="1:30" ht="15">
      <c r="A51" s="37" t="s">
        <v>84</v>
      </c>
      <c r="B51" s="20" t="s">
        <v>71</v>
      </c>
      <c r="C51" s="2" t="s">
        <v>19</v>
      </c>
      <c r="D51" s="2">
        <v>40</v>
      </c>
      <c r="E51" s="11">
        <v>21</v>
      </c>
      <c r="F51" s="11">
        <v>39</v>
      </c>
      <c r="G51" s="11">
        <v>3</v>
      </c>
      <c r="H51" s="12" t="s">
        <v>30</v>
      </c>
      <c r="I51" s="11" t="str">
        <f>IF(AND(E51&gt;=IF(D51&gt;40,15,20),
      F51&gt;=IF(D51&gt;40,30,35),
      G51&gt;=1,
      H51&gt;=IF(D51&gt;40,2000,2400)),
   "Satisfatório",
   "Insatisfatório")</f>
        <v>Satisfatório</v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spans="1:30" ht="15">
      <c r="A52" s="37" t="s">
        <v>85</v>
      </c>
      <c r="B52" s="20" t="s">
        <v>71</v>
      </c>
      <c r="C52" s="2" t="s">
        <v>19</v>
      </c>
      <c r="D52" s="2">
        <v>45</v>
      </c>
      <c r="E52" s="11">
        <v>20</v>
      </c>
      <c r="F52" s="11">
        <v>38</v>
      </c>
      <c r="G52" s="11">
        <v>3</v>
      </c>
      <c r="H52" s="12" t="s">
        <v>49</v>
      </c>
      <c r="I52" s="11" t="str">
        <f>IF(AND(E52&gt;=IF(D52&gt;40,15,20),
      F52&gt;=IF(D52&gt;40,30,35),
      G52&gt;=1,
      H52&gt;=IF(D52&gt;40,2000,2400)),
   "Satisfatório",
   "Insatisfatório")</f>
        <v>Satisfatório</v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spans="1:30" ht="15">
      <c r="A53" s="37" t="s">
        <v>86</v>
      </c>
      <c r="B53" s="35" t="s">
        <v>71</v>
      </c>
      <c r="C53" s="2" t="s">
        <v>19</v>
      </c>
      <c r="D53" s="2">
        <v>43</v>
      </c>
      <c r="E53" s="11">
        <v>43</v>
      </c>
      <c r="F53" s="11">
        <v>44</v>
      </c>
      <c r="G53" s="11">
        <v>9</v>
      </c>
      <c r="H53" s="12" t="s">
        <v>51</v>
      </c>
      <c r="I53" s="11" t="str">
        <f>IF(AND(E53&gt;=IF(D53&gt;40,15,20),
      F53&gt;=IF(D53&gt;40,30,35),
      G53&gt;=1,
      H53&gt;=IF(D53&gt;40,2000,2400)),
   "Satisfatório",
   "Insatisfatório")</f>
        <v>Satisfatório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spans="1:30" ht="15">
      <c r="A54" s="37" t="s">
        <v>87</v>
      </c>
      <c r="B54" s="35" t="s">
        <v>71</v>
      </c>
      <c r="C54" s="1" t="s">
        <v>19</v>
      </c>
      <c r="D54" s="1">
        <v>30</v>
      </c>
      <c r="E54" s="11">
        <v>25</v>
      </c>
      <c r="F54" s="11">
        <v>39</v>
      </c>
      <c r="G54" s="11">
        <v>3</v>
      </c>
      <c r="H54" s="12" t="s">
        <v>30</v>
      </c>
      <c r="I54" s="11" t="str">
        <f>IF(AND(E54&gt;=IF(D54&gt;40,15,20),
      F54&gt;=IF(D54&gt;40,30,35),
      G54&gt;=1,
      H54&gt;=IF(D54&gt;40,2000,2400)),
   "Satisfatório",
   "Insatisfatório")</f>
        <v>Satisfatório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spans="1:30" ht="15">
      <c r="A55" s="37" t="s">
        <v>88</v>
      </c>
      <c r="B55" s="20" t="s">
        <v>71</v>
      </c>
      <c r="C55" s="2" t="s">
        <v>19</v>
      </c>
      <c r="D55" s="2">
        <v>38</v>
      </c>
      <c r="E55" s="11">
        <v>20</v>
      </c>
      <c r="F55" s="11">
        <v>38</v>
      </c>
      <c r="G55" s="11">
        <v>3</v>
      </c>
      <c r="H55" s="12" t="s">
        <v>30</v>
      </c>
      <c r="I55" s="11" t="str">
        <f t="shared" ref="I55:I60" si="1">IF(AND(E55&gt;=IF(D55&gt;40,15,20),
      F55&gt;=IF(D55&gt;40,30,35),
      G55&gt;=1,
      H55&gt;=IF(D55&gt;40,2000,2400)),
   "Satisfatório",
   "Insatisfatório")</f>
        <v>Satisfatório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spans="1:30" ht="13.5" customHeight="1">
      <c r="A56" s="37" t="s">
        <v>89</v>
      </c>
      <c r="B56" s="20" t="s">
        <v>71</v>
      </c>
      <c r="C56" s="2" t="s">
        <v>19</v>
      </c>
      <c r="D56" s="2">
        <v>24</v>
      </c>
      <c r="E56" s="11">
        <v>25</v>
      </c>
      <c r="F56" s="11">
        <v>38</v>
      </c>
      <c r="G56" s="11">
        <v>3</v>
      </c>
      <c r="H56" s="12" t="s">
        <v>51</v>
      </c>
      <c r="I56" s="11" t="str">
        <f t="shared" si="1"/>
        <v>Satisfatório</v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spans="1:30" ht="13.5" customHeight="1">
      <c r="A57" s="37" t="s">
        <v>90</v>
      </c>
      <c r="B57" s="20" t="s">
        <v>71</v>
      </c>
      <c r="C57" s="2" t="s">
        <v>19</v>
      </c>
      <c r="D57" s="2">
        <v>50</v>
      </c>
      <c r="E57" s="11">
        <v>20</v>
      </c>
      <c r="F57" s="11">
        <v>38</v>
      </c>
      <c r="G57" s="11">
        <v>3</v>
      </c>
      <c r="H57" s="12" t="s">
        <v>73</v>
      </c>
      <c r="I57" s="11" t="str">
        <f t="shared" si="1"/>
        <v>Satisfatório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spans="1:30" ht="13.5" customHeight="1">
      <c r="A58" s="37" t="s">
        <v>91</v>
      </c>
      <c r="B58" s="20" t="s">
        <v>71</v>
      </c>
      <c r="C58" s="2" t="s">
        <v>19</v>
      </c>
      <c r="D58" s="2">
        <v>44</v>
      </c>
      <c r="E58" s="11">
        <v>20</v>
      </c>
      <c r="F58" s="11">
        <v>38</v>
      </c>
      <c r="G58" s="11">
        <v>3</v>
      </c>
      <c r="H58" s="12" t="s">
        <v>92</v>
      </c>
      <c r="I58" s="11" t="str">
        <f t="shared" si="1"/>
        <v>Satisfatório</v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spans="1:30" ht="13.5" customHeight="1">
      <c r="A59" s="37" t="s">
        <v>93</v>
      </c>
      <c r="B59" s="20" t="s">
        <v>71</v>
      </c>
      <c r="C59" s="2" t="s">
        <v>19</v>
      </c>
      <c r="D59" s="2">
        <v>42</v>
      </c>
      <c r="E59" s="11">
        <v>22</v>
      </c>
      <c r="F59" s="11">
        <v>38</v>
      </c>
      <c r="G59" s="11">
        <v>3</v>
      </c>
      <c r="H59" s="12" t="s">
        <v>28</v>
      </c>
      <c r="I59" s="11" t="str">
        <f t="shared" si="1"/>
        <v>Satisfatório</v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spans="1:30" ht="15">
      <c r="A60" s="37" t="s">
        <v>94</v>
      </c>
      <c r="B60" s="20" t="s">
        <v>71</v>
      </c>
      <c r="C60" s="2" t="s">
        <v>19</v>
      </c>
      <c r="D60" s="2">
        <v>46</v>
      </c>
      <c r="E60" s="11">
        <v>20</v>
      </c>
      <c r="F60" s="11">
        <v>40</v>
      </c>
      <c r="G60" s="11">
        <v>3</v>
      </c>
      <c r="H60" s="12" t="s">
        <v>51</v>
      </c>
      <c r="I60" s="11" t="str">
        <f t="shared" si="1"/>
        <v>Satisfatório</v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spans="1:30">
      <c r="A61" s="30" t="s">
        <v>95</v>
      </c>
      <c r="B61" s="20" t="s">
        <v>96</v>
      </c>
      <c r="C61" s="2" t="s">
        <v>67</v>
      </c>
      <c r="D61" s="2">
        <v>38</v>
      </c>
      <c r="E61" s="11">
        <v>30</v>
      </c>
      <c r="F61" s="11">
        <v>45</v>
      </c>
      <c r="G61" s="11">
        <v>3</v>
      </c>
      <c r="H61" s="12" t="s">
        <v>51</v>
      </c>
      <c r="I61" s="11" t="str">
        <f>IF(AND(E61&gt;=IF(D61&gt;40,15,20),
      F61&gt;=IF(D61&gt;40,30,35),
      G61&gt;=1,
      H61&gt;=IF(D61&gt;40,2000,2400)),
   "Satisfatório",
   "Insatisfatório")</f>
        <v>Satisfatório</v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spans="1:30">
      <c r="A62" s="30" t="s">
        <v>97</v>
      </c>
      <c r="B62" s="20" t="s">
        <v>96</v>
      </c>
      <c r="C62" s="2" t="s">
        <v>55</v>
      </c>
      <c r="D62" s="2">
        <v>46</v>
      </c>
      <c r="E62" s="11">
        <v>30</v>
      </c>
      <c r="F62" s="11">
        <v>45</v>
      </c>
      <c r="G62" s="11">
        <v>3</v>
      </c>
      <c r="H62" s="12" t="s">
        <v>51</v>
      </c>
      <c r="I62" s="11" t="str">
        <f t="shared" ref="I62:I77" si="2">IF(AND(E62&gt;=IF(D62&gt;40,15,20),
      F62&gt;=IF(D62&gt;40,30,35),
      G62&gt;=1,
      H62&gt;=IF(D62&gt;40,2000,2400)),
   "Satisfatório",
   "Insatisfatório")</f>
        <v>Satisfatório</v>
      </c>
    </row>
    <row r="63" spans="1:30">
      <c r="A63" s="30" t="s">
        <v>98</v>
      </c>
      <c r="B63" s="20" t="s">
        <v>96</v>
      </c>
      <c r="C63" s="2" t="s">
        <v>62</v>
      </c>
      <c r="D63" s="2">
        <v>33</v>
      </c>
      <c r="E63" s="11">
        <v>30</v>
      </c>
      <c r="F63" s="11">
        <v>45</v>
      </c>
      <c r="G63" s="11">
        <v>3</v>
      </c>
      <c r="H63" s="12" t="s">
        <v>51</v>
      </c>
      <c r="I63" s="11" t="str">
        <f t="shared" si="2"/>
        <v>Satisfatório</v>
      </c>
    </row>
    <row r="64" spans="1:30">
      <c r="A64" s="30" t="s">
        <v>99</v>
      </c>
      <c r="B64" s="20" t="s">
        <v>96</v>
      </c>
      <c r="C64" s="2" t="s">
        <v>58</v>
      </c>
      <c r="D64" s="2">
        <v>41</v>
      </c>
      <c r="E64" s="11">
        <v>30</v>
      </c>
      <c r="F64" s="11">
        <v>45</v>
      </c>
      <c r="G64" s="11">
        <v>3</v>
      </c>
      <c r="H64" s="12" t="s">
        <v>17</v>
      </c>
      <c r="I64" s="11" t="str">
        <f t="shared" si="2"/>
        <v>Satisfatório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spans="1:30">
      <c r="A65" s="30" t="s">
        <v>100</v>
      </c>
      <c r="B65" s="20" t="s">
        <v>96</v>
      </c>
      <c r="C65" s="2" t="s">
        <v>19</v>
      </c>
      <c r="D65" s="2">
        <v>28</v>
      </c>
      <c r="E65" s="11">
        <v>30</v>
      </c>
      <c r="F65" s="11">
        <v>45</v>
      </c>
      <c r="G65" s="11">
        <v>3</v>
      </c>
      <c r="H65" s="12" t="s">
        <v>101</v>
      </c>
      <c r="I65" s="11" t="str">
        <f t="shared" si="2"/>
        <v>Satisfatório</v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spans="1:30">
      <c r="A66" s="30" t="s">
        <v>102</v>
      </c>
      <c r="B66" s="20" t="s">
        <v>96</v>
      </c>
      <c r="C66" s="2" t="s">
        <v>55</v>
      </c>
      <c r="D66" s="2">
        <v>34</v>
      </c>
      <c r="E66" s="11">
        <v>30</v>
      </c>
      <c r="F66" s="11">
        <v>45</v>
      </c>
      <c r="G66" s="11">
        <v>3</v>
      </c>
      <c r="H66" s="12" t="s">
        <v>103</v>
      </c>
      <c r="I66" s="11" t="str">
        <f t="shared" si="2"/>
        <v>Satisfatório</v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spans="1:30">
      <c r="A67" s="30" t="s">
        <v>104</v>
      </c>
      <c r="B67" s="20" t="s">
        <v>96</v>
      </c>
      <c r="C67" s="2" t="s">
        <v>19</v>
      </c>
      <c r="D67" s="2">
        <v>39</v>
      </c>
      <c r="E67" s="11">
        <v>30</v>
      </c>
      <c r="F67" s="11">
        <v>45</v>
      </c>
      <c r="G67" s="11">
        <v>10</v>
      </c>
      <c r="H67" s="12" t="s">
        <v>105</v>
      </c>
      <c r="I67" s="11" t="str">
        <f t="shared" si="2"/>
        <v>Satisfatório</v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spans="1:30">
      <c r="A68" s="30" t="s">
        <v>106</v>
      </c>
      <c r="B68" s="20" t="s">
        <v>96</v>
      </c>
      <c r="C68" s="2" t="s">
        <v>19</v>
      </c>
      <c r="D68" s="2">
        <v>40</v>
      </c>
      <c r="E68" s="11">
        <v>30</v>
      </c>
      <c r="F68" s="11">
        <v>45</v>
      </c>
      <c r="G68" s="11">
        <v>3</v>
      </c>
      <c r="H68" s="12" t="s">
        <v>51</v>
      </c>
      <c r="I68" s="11" t="str">
        <f t="shared" si="2"/>
        <v>Satisfatório</v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spans="1:30">
      <c r="A69" s="30" t="s">
        <v>107</v>
      </c>
      <c r="B69" s="21" t="s">
        <v>96</v>
      </c>
      <c r="C69" s="4" t="s">
        <v>19</v>
      </c>
      <c r="D69" s="4">
        <v>32</v>
      </c>
      <c r="E69" s="13">
        <v>30</v>
      </c>
      <c r="F69" s="13">
        <v>45</v>
      </c>
      <c r="G69" s="13">
        <v>10</v>
      </c>
      <c r="H69" s="14" t="s">
        <v>82</v>
      </c>
      <c r="I69" s="11" t="str">
        <f t="shared" si="2"/>
        <v>Satisfatório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spans="1:30">
      <c r="A70" s="30" t="s">
        <v>108</v>
      </c>
      <c r="B70" s="20" t="s">
        <v>96</v>
      </c>
      <c r="C70" s="2" t="s">
        <v>65</v>
      </c>
      <c r="D70" s="2">
        <v>34</v>
      </c>
      <c r="E70" s="2">
        <v>30</v>
      </c>
      <c r="F70" s="2">
        <v>45</v>
      </c>
      <c r="G70" s="2">
        <v>3</v>
      </c>
      <c r="H70" s="3" t="s">
        <v>28</v>
      </c>
      <c r="I70" s="11" t="str">
        <f t="shared" si="2"/>
        <v>Satisfatório</v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spans="1:30">
      <c r="A71" s="30" t="s">
        <v>109</v>
      </c>
      <c r="B71" s="20" t="s">
        <v>96</v>
      </c>
      <c r="C71" s="2" t="s">
        <v>19</v>
      </c>
      <c r="D71" s="2">
        <v>25</v>
      </c>
      <c r="E71" s="11">
        <v>30</v>
      </c>
      <c r="F71" s="11">
        <v>45</v>
      </c>
      <c r="G71" s="11">
        <v>10</v>
      </c>
      <c r="H71" s="12" t="s">
        <v>22</v>
      </c>
      <c r="I71" s="11" t="str">
        <f t="shared" si="2"/>
        <v>Satisfatório</v>
      </c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spans="1:30">
      <c r="A72" s="30" t="s">
        <v>110</v>
      </c>
      <c r="B72" s="20" t="s">
        <v>96</v>
      </c>
      <c r="C72" s="2" t="s">
        <v>19</v>
      </c>
      <c r="D72" s="2">
        <v>42</v>
      </c>
      <c r="E72" s="2">
        <v>30</v>
      </c>
      <c r="F72" s="2">
        <v>45</v>
      </c>
      <c r="G72" s="2">
        <v>3</v>
      </c>
      <c r="H72" s="3" t="s">
        <v>51</v>
      </c>
      <c r="I72" s="11" t="str">
        <f t="shared" si="2"/>
        <v>Satisfatório</v>
      </c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spans="1:30">
      <c r="A73" s="30" t="s">
        <v>111</v>
      </c>
      <c r="B73" s="20" t="s">
        <v>96</v>
      </c>
      <c r="C73" s="2" t="s">
        <v>62</v>
      </c>
      <c r="D73" s="2">
        <v>37</v>
      </c>
      <c r="E73" s="11">
        <v>30</v>
      </c>
      <c r="F73" s="11">
        <v>45</v>
      </c>
      <c r="G73" s="11">
        <v>3</v>
      </c>
      <c r="H73" s="12" t="s">
        <v>112</v>
      </c>
      <c r="I73" s="11" t="str">
        <f t="shared" si="2"/>
        <v>Satisfatório</v>
      </c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spans="1:30">
      <c r="A74" s="30" t="s">
        <v>113</v>
      </c>
      <c r="B74" s="20" t="s">
        <v>96</v>
      </c>
      <c r="C74" s="2" t="s">
        <v>55</v>
      </c>
      <c r="D74" s="2">
        <v>35</v>
      </c>
      <c r="E74" s="11">
        <v>30</v>
      </c>
      <c r="F74" s="11">
        <v>45</v>
      </c>
      <c r="G74" s="11">
        <v>10</v>
      </c>
      <c r="H74" s="12" t="s">
        <v>22</v>
      </c>
      <c r="I74" s="11" t="str">
        <f t="shared" si="2"/>
        <v>Satisfatório</v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spans="1:30">
      <c r="A75" s="30" t="s">
        <v>114</v>
      </c>
      <c r="B75" s="20" t="s">
        <v>96</v>
      </c>
      <c r="C75" s="2" t="s">
        <v>19</v>
      </c>
      <c r="D75" s="2">
        <v>37</v>
      </c>
      <c r="E75" s="11">
        <v>30</v>
      </c>
      <c r="F75" s="11">
        <v>45</v>
      </c>
      <c r="G75" s="11">
        <v>3</v>
      </c>
      <c r="H75" s="12" t="s">
        <v>51</v>
      </c>
      <c r="I75" s="11" t="str">
        <f t="shared" si="2"/>
        <v>Satisfatório</v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spans="1:30">
      <c r="A76" s="30" t="s">
        <v>115</v>
      </c>
      <c r="B76" s="20" t="s">
        <v>96</v>
      </c>
      <c r="C76" s="2" t="s">
        <v>55</v>
      </c>
      <c r="D76" s="2">
        <v>39</v>
      </c>
      <c r="E76" s="11">
        <v>30</v>
      </c>
      <c r="F76" s="11">
        <v>45</v>
      </c>
      <c r="G76" s="11">
        <v>10</v>
      </c>
      <c r="H76" s="12" t="s">
        <v>116</v>
      </c>
      <c r="I76" s="11" t="str">
        <f t="shared" si="2"/>
        <v>Satisfatório</v>
      </c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spans="1:30">
      <c r="A77" s="30" t="s">
        <v>117</v>
      </c>
      <c r="B77" s="22" t="s">
        <v>96</v>
      </c>
      <c r="C77" s="2" t="s">
        <v>55</v>
      </c>
      <c r="D77" s="2">
        <v>34</v>
      </c>
      <c r="E77" s="11">
        <v>30</v>
      </c>
      <c r="F77" s="11">
        <v>45</v>
      </c>
      <c r="G77" s="11">
        <v>3</v>
      </c>
      <c r="H77" s="12" t="s">
        <v>105</v>
      </c>
      <c r="I77" s="11" t="str">
        <f t="shared" si="2"/>
        <v>Satisfatório</v>
      </c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</row>
    <row r="78" spans="1:30">
      <c r="A78" s="2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</row>
    <row r="79" spans="1:30">
      <c r="A79" s="23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</row>
    <row r="80" spans="1:30">
      <c r="A80" s="23"/>
      <c r="B80" s="15"/>
      <c r="C80" s="25" t="s">
        <v>118</v>
      </c>
      <c r="D80" s="26" t="s">
        <v>119</v>
      </c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</row>
    <row r="81" spans="1:24">
      <c r="A81" s="23"/>
      <c r="B81" s="15"/>
      <c r="C81" s="27">
        <f>COUNTIF(I6:I77,"Satisfatório")</f>
        <v>72</v>
      </c>
      <c r="D81" s="27">
        <f>COUNTIF(I6:I77,"Insatisfatório")</f>
        <v>0</v>
      </c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</row>
    <row r="82" spans="1:24">
      <c r="A82" s="2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</row>
    <row r="83" spans="1:24">
      <c r="A83" s="23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</row>
    <row r="84" spans="1:24">
      <c r="A84" s="2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</row>
    <row r="85" spans="1:24">
      <c r="A85" s="23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</row>
    <row r="86" spans="1:24">
      <c r="A86" s="2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</row>
    <row r="87" spans="1:24">
      <c r="A87" s="23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</row>
    <row r="88" spans="1:24">
      <c r="A88" s="2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</row>
    <row r="89" spans="1:24">
      <c r="A89" s="23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 spans="1:24">
      <c r="A90" s="2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</row>
    <row r="91" spans="1:24">
      <c r="A91" s="23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</row>
    <row r="92" spans="1:24">
      <c r="A92" s="2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</row>
    <row r="93" spans="1:24">
      <c r="P93" s="15"/>
      <c r="Q93" s="15"/>
      <c r="R93" s="15"/>
      <c r="S93" s="15"/>
      <c r="T93" s="15"/>
      <c r="U93" s="15"/>
      <c r="V93" s="15"/>
      <c r="W93" s="15"/>
      <c r="X93" s="15"/>
    </row>
  </sheetData>
  <autoFilter ref="A5:I77" xr:uid="{00000000-0009-0000-0000-000000000000}">
    <sortState xmlns:xlrd2="http://schemas.microsoft.com/office/spreadsheetml/2017/richdata2" ref="A6:I77">
      <sortCondition ref="C5:C77"/>
    </sortState>
  </autoFilter>
  <mergeCells count="7">
    <mergeCell ref="A1:I4"/>
    <mergeCell ref="L3:O3"/>
    <mergeCell ref="S3:V3"/>
    <mergeCell ref="Z3:AC3"/>
    <mergeCell ref="L4:O4"/>
    <mergeCell ref="S4:V4"/>
    <mergeCell ref="Z4:AC4"/>
  </mergeCells>
  <conditionalFormatting sqref="I6:I77">
    <cfRule type="cellIs" dxfId="1" priority="1" operator="equal">
      <formula>"Insatisfatório"</formula>
    </cfRule>
    <cfRule type="cellIs" dxfId="0" priority="2" operator="equal">
      <formula>"Satisfatório"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4"/>
  <sheetViews>
    <sheetView topLeftCell="A72" workbookViewId="0">
      <selection activeCell="C2" sqref="C2"/>
    </sheetView>
  </sheetViews>
  <sheetFormatPr defaultRowHeight="14.45"/>
  <cols>
    <col min="2" max="2" width="12.7109375" bestFit="1" customWidth="1"/>
  </cols>
  <sheetData>
    <row r="2" spans="2:4">
      <c r="B2" s="29" t="s">
        <v>120</v>
      </c>
      <c r="C2" s="29">
        <f>SUM(C3,C4)</f>
        <v>72</v>
      </c>
      <c r="D2" s="29" t="s">
        <v>121</v>
      </c>
    </row>
    <row r="3" spans="2:4">
      <c r="B3" s="27" t="s">
        <v>118</v>
      </c>
      <c r="C3" s="27">
        <f>FEVEREIRO!C81</f>
        <v>72</v>
      </c>
      <c r="D3" s="28">
        <f>C3/C2</f>
        <v>1</v>
      </c>
    </row>
    <row r="4" spans="2:4">
      <c r="B4" s="27" t="s">
        <v>119</v>
      </c>
      <c r="C4" s="27">
        <f>FEVEREIRO!D81</f>
        <v>0</v>
      </c>
      <c r="D4" s="28">
        <f>C4/C2</f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00078c-d3eb-436f-b287-c570e1e30ec0" xsi:nil="true"/>
    <lcf76f155ced4ddcb4097134ff3c332f xmlns="1b04beef-6714-4461-bb03-a5c46a41fd0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DE4CB2CF3C90548A588F5FBF4FA9CF0" ma:contentTypeVersion="15" ma:contentTypeDescription="Crie um novo documento." ma:contentTypeScope="" ma:versionID="524d8f636bdaf642fe2ed0fbbf811c5b">
  <xsd:schema xmlns:xsd="http://www.w3.org/2001/XMLSchema" xmlns:xs="http://www.w3.org/2001/XMLSchema" xmlns:p="http://schemas.microsoft.com/office/2006/metadata/properties" xmlns:ns2="1b04beef-6714-4461-bb03-a5c46a41fd01" xmlns:ns3="8500078c-d3eb-436f-b287-c570e1e30ec0" targetNamespace="http://schemas.microsoft.com/office/2006/metadata/properties" ma:root="true" ma:fieldsID="08421f6fc3d3fc32ee68e877ed3d2b7c" ns2:_="" ns3:_="">
    <xsd:import namespace="1b04beef-6714-4461-bb03-a5c46a41fd01"/>
    <xsd:import namespace="8500078c-d3eb-436f-b287-c570e1e30e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04beef-6714-4461-bb03-a5c46a41fd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ca6734-0c51-4070-8d01-d2e28aa1cd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00078c-d3eb-436f-b287-c570e1e30ec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3905c06-8d52-4156-a92f-1e4d4fa65eed}" ma:internalName="TaxCatchAll" ma:showField="CatchAllData" ma:web="8500078c-d3eb-436f-b287-c570e1e30e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3A4508-2AA7-4CAA-BE22-F0846752A258}"/>
</file>

<file path=customXml/itemProps2.xml><?xml version="1.0" encoding="utf-8"?>
<ds:datastoreItem xmlns:ds="http://schemas.openxmlformats.org/officeDocument/2006/customXml" ds:itemID="{1939D477-20D4-4D42-B418-5D5D32C62B11}"/>
</file>

<file path=customXml/itemProps3.xml><?xml version="1.0" encoding="utf-8"?>
<ds:datastoreItem xmlns:ds="http://schemas.openxmlformats.org/officeDocument/2006/customXml" ds:itemID="{880EE0CD-D8E5-4C4D-8A9C-3B7B40041E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Fonseca Alves</dc:creator>
  <cp:keywords/>
  <dc:description/>
  <cp:lastModifiedBy>Jose William de Lana</cp:lastModifiedBy>
  <cp:revision/>
  <dcterms:created xsi:type="dcterms:W3CDTF">2025-08-01T17:12:09Z</dcterms:created>
  <dcterms:modified xsi:type="dcterms:W3CDTF">2026-03-05T15:07:05Z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0x0101003DE4CB2CF3C90548A588F5FBF4FA9CF0</vt:lpwstr>
  </property>
  <property fmtid="{D5CDD505-2E9C-101B-9397-08002B2CF9AE}" pid="3" name="MediaServiceImageTags">
    <vt:lpwstr/>
  </property>
</Properties>
</file>